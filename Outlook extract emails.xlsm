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alvariainc-my.sharepoint.com/personal/felix_reta_aspect_com/Documents/Documents/Personal/Excel/"/>
    </mc:Choice>
  </mc:AlternateContent>
  <xr:revisionPtr revIDLastSave="69539" documentId="8_{3C998869-3B6A-44B6-819F-843260D42A01}" xr6:coauthVersionLast="47" xr6:coauthVersionMax="47" xr10:uidLastSave="{15AAA377-1BBA-4E4B-B62D-21CD7B8836F9}"/>
  <bookViews>
    <workbookView xWindow="5115" yWindow="1185" windowWidth="21600" windowHeight="12825" xr2:uid="{7758B92D-70A6-4CFB-A57C-F5B06DF1DE96}"/>
  </bookViews>
  <sheets>
    <sheet name="Sheet3" sheetId="10" r:id="rId1"/>
    <sheet name="eMails" sheetId="1" r:id="rId2"/>
    <sheet name="Sheet5" sheetId="12" r:id="rId3"/>
    <sheet name="Calendar" sheetId="6" r:id="rId4"/>
    <sheet name="Sheet7" sheetId="13" r:id="rId5"/>
    <sheet name="Tasks" sheetId="11" r:id="rId6"/>
    <sheet name="Sheet2" sheetId="2" r:id="rId7"/>
  </sheets>
  <functionGroups builtInGroupCount="19"/>
  <externalReferences>
    <externalReference r:id="rId8"/>
  </externalReferences>
  <definedNames>
    <definedName name="eMail_date">eMails!$G$1</definedName>
    <definedName name="email_Folder">eMails!$E$1</definedName>
    <definedName name="eMail_sender">eMails!$H$1</definedName>
    <definedName name="eMail_subject">eMails!$F$1</definedName>
    <definedName name="eMail_text">eMails!$I$1</definedName>
    <definedName name="From_Date">eMails!$B$1</definedName>
    <definedName name="INPUT_REGION">'[1]Input Form'!$G$3</definedName>
    <definedName name="Project">Table2[[#Headers],[Project]]</definedName>
    <definedName name="Source">Table2[[#Headers],[Source]]</definedName>
  </definedNames>
  <calcPr calcId="191029"/>
  <pivotCaches>
    <pivotCache cacheId="31" r:id="rId9"/>
    <pivotCache cacheId="35" r:id="rId10"/>
    <pivotCache cacheId="39"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2" i="1" l="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M2" i="2"/>
  <c r="M3" i="2"/>
  <c r="M4" i="2"/>
  <c r="M5" i="2"/>
  <c r="M6" i="2"/>
  <c r="M7" i="2"/>
  <c r="M8" i="2"/>
  <c r="M9" i="2"/>
  <c r="M10" i="2"/>
  <c r="M11" i="2"/>
  <c r="M12" i="2"/>
  <c r="M13" i="2"/>
  <c r="M14" i="2"/>
  <c r="M15" i="2"/>
  <c r="M16" i="2"/>
  <c r="M1" i="2"/>
  <c r="G111" i="6" l="1"/>
</calcChain>
</file>

<file path=xl/sharedStrings.xml><?xml version="1.0" encoding="utf-8"?>
<sst xmlns="http://schemas.openxmlformats.org/spreadsheetml/2006/main" count="1573" uniqueCount="514">
  <si>
    <t>From Date</t>
  </si>
  <si>
    <t>505898 Computershare</t>
  </si>
  <si>
    <t>505017 Camis</t>
  </si>
  <si>
    <t>504133 HGS</t>
  </si>
  <si>
    <t>505453 UBC</t>
  </si>
  <si>
    <t>505909 M&amp;T</t>
  </si>
  <si>
    <t>505921 PNC</t>
  </si>
  <si>
    <t>505926 AFNI</t>
  </si>
  <si>
    <t>505563 JetBlue</t>
  </si>
  <si>
    <t>505845 CAC Credit Acc</t>
  </si>
  <si>
    <t>505936 Accenture Dell</t>
  </si>
  <si>
    <t>505955-Rushmore Loan Screen pop migration</t>
  </si>
  <si>
    <t>505971 Assurant</t>
  </si>
  <si>
    <t>505967 JetBlue - PS-Secure Agent</t>
  </si>
  <si>
    <t>Subject</t>
  </si>
  <si>
    <t>Date</t>
  </si>
  <si>
    <t>Body</t>
  </si>
  <si>
    <t>Row Labels</t>
  </si>
  <si>
    <t>Grand Total</t>
  </si>
  <si>
    <t>Count of Subject</t>
  </si>
  <si>
    <t>Category</t>
  </si>
  <si>
    <t>Starting Date</t>
  </si>
  <si>
    <t>Ending Date</t>
  </si>
  <si>
    <t>Start Time</t>
  </si>
  <si>
    <t>End Time</t>
  </si>
  <si>
    <t>Hours</t>
  </si>
  <si>
    <t>Attendees</t>
  </si>
  <si>
    <t>Internet</t>
  </si>
  <si>
    <t>Manager</t>
  </si>
  <si>
    <t>ICBC Weekly Project Status Meeting</t>
  </si>
  <si>
    <t>Sullivan, Jan, Bock, April [C], 'Wagner, Christie', Kapur, Sakshay, Reta, Felix [C], Sharif, Roshan [C], Trost, Lou Ann [C], Kumar, Pankaj, Srinivasa, Ananya, Achar, Roshan, Nayak, Garima, Prasad, Karthik, Upton, Dan, Shete, Abhijit, Springs, Vanessa, 'felix.reta@gmail.com', Felix Reta, April Bock</t>
  </si>
  <si>
    <t>Best Egg Weekly Project Status Meeting</t>
  </si>
  <si>
    <t>Sullivan, Jan, Lomakin, Roman, Simon, Francis, Nadgir, Sachin, Lamberth, Colin, Ramadas, Ravishankara, Norman Hutchinson, Matt Murphy, Kenneth Johnston, Paul Gimbutas, Das, Shounak, Epling, Darin, Shete, Abhijit, Reta, Felix [C], Sharif, Roshan [C], Trost, Lou Ann [C]</t>
  </si>
  <si>
    <t>Purple Category</t>
  </si>
  <si>
    <t>Lunch</t>
  </si>
  <si>
    <t>Giles, Timothy, Reta, Felix [C], Hutcherson, Deborah [C], Lomakin, Roman, Ward, Mary, Bodrero, Brenda, Anderson, Amy, Paul, Michael, Gardner, Dee Dee, Wood, Daniel</t>
  </si>
  <si>
    <t>Managed Services/Private Cloud CAB CR Review</t>
  </si>
  <si>
    <t>Change Management, APS.AMER-PM-ALL, CAB - Hosted_MS, Newman, Randy, Goldstein, Jeffrey, Kumar, Narendra, Texter, Jim, Wise, Angela Joyce, Jefferson, John, Owens, Michael, Boughner, Randall, Scoot, Howard, Moore, Chris, Singh, Ashish, Taylor, Darryl, Durrough, Lenny, Pacheco, Henry, Neild, Robert, Serrano, Michelle, Schlinsog, Jason, Subbarayan, Saravanan, Smith, Rodney, Riley, MaryEllen, Jensen, John, Zuckerman, Dan, Sundararajan, Senthil, Chandorkar, Sujay, Lewandowski, Kimberly, Jones, Brian, Stewart, Kim</t>
  </si>
  <si>
    <t>Public Cloud CAB CR Review</t>
  </si>
  <si>
    <t>Alvaria Cloud CAB CR Review</t>
  </si>
  <si>
    <t>Change Management, APS.AMER-PM-ALL, CAB - Via, Jefferson, John, Lilic, Rusmin, Boughner, Randall, Kelly, Jarlath, Norton, David, Singh, Ashish, Wiegard, Hanno, Scoot, Howard, Durrough, Lenny, Murphy, Kealan, Ramadas, Ravishankara, Boring, Scott, Pacheco, Henry, McDonnell, Jon, Kumar, Narendra, Serrano, Michelle, Grigorian, Anna, Texter, Jim, Schlinsog, Jason, Crapps, MaryEllen [C], Subbarayan, Saravanan, Goldstein, Jeffrey, Smith, Rodney, Riley, MaryEllen, Beasley, Michael, Zuckerman, Dan, Kaleski, Mike, Craemer, Alex, Riemann, Mark, Jeffery, Richard, Chandorkar, Sujay, Lewandowski, Kimberly, Mauelshagen, Martin, Harper, Paul, Rai, Rohit, Jones, Brian, Stewart, Kim</t>
  </si>
  <si>
    <t>Weekly Status Meeting - WFM &amp; AQM Upgrade 505845 -CAC</t>
  </si>
  <si>
    <t>Project</t>
  </si>
  <si>
    <t>Other</t>
  </si>
  <si>
    <t>505845</t>
  </si>
  <si>
    <t>505936</t>
  </si>
  <si>
    <t>505926</t>
  </si>
  <si>
    <t>Weekly Project Status Meeting JetBlue/Alvaria [505563]</t>
  </si>
  <si>
    <t>505563</t>
  </si>
  <si>
    <t>505742 Consumer Cellular - Via WFM Training Lab</t>
  </si>
  <si>
    <t>Projects, Internet</t>
  </si>
  <si>
    <t>Change Management, APS.AMER-PM-ALL, CAB - Cloud, Boughner, Randall, Owens, Michael, Texter, Jim, Scoot, Howard, Kumar, Narendra, Jefferson, John, Neild, Robert, Singh, Ashish, Rosario, Colin, Durrough, Lenny, Pacheco, Henry, Serrano, Michelle, Schlinsog, Jason, Subbarayan, Saravanan, Smith, Rodney, Goldstein, Jeffrey, Owen, Martin, Riley, MaryEllen, Lewandowski, Kimberly, Chandorkar, Sujay, Jones, Brian, Stewart, Kim</t>
  </si>
  <si>
    <t>505955</t>
  </si>
  <si>
    <t>505971</t>
  </si>
  <si>
    <t>Holiday</t>
  </si>
  <si>
    <t>505742</t>
  </si>
  <si>
    <t>Column Labels</t>
  </si>
  <si>
    <t>Apr</t>
  </si>
  <si>
    <t>Apr Total</t>
  </si>
  <si>
    <t>Project Office NA</t>
  </si>
  <si>
    <t>Schlinsog, Jason</t>
  </si>
  <si>
    <t>Your Daily Digest for Alvaria Inc</t>
  </si>
  <si>
    <t>Alvaria Inc.</t>
  </si>
  <si>
    <t>RE: Camis 505017 - WFM project - Optimization workshop</t>
  </si>
  <si>
    <t>RE: Browser Standardization | Bowser Extension SCripts</t>
  </si>
  <si>
    <t>RE: R.A.: Reta, Felix #391173 PA#: 505453, 50119 United Biosource LLC, Biggs, Tumoyia R</t>
  </si>
  <si>
    <t>Obley, Deborah [contractor]</t>
  </si>
  <si>
    <t>Reta, Felix [C]</t>
  </si>
  <si>
    <t>RE: R.A.: Reta, Felix #391173 PA#: 505453, 50119 United Biosource LLC</t>
  </si>
  <si>
    <t>Folder</t>
  </si>
  <si>
    <t>Sender</t>
  </si>
  <si>
    <t>Weekly status meeting for 505936 -Synnex - Dell - Accenture - WFM Upgrade V19- V21.1</t>
  </si>
  <si>
    <t>505978</t>
  </si>
  <si>
    <t>Nirmal Mishra, Reta, Felix [C]</t>
  </si>
  <si>
    <t>Singhal, Anukul</t>
  </si>
  <si>
    <t>Singhal, Anukul (Anukul.Singhal@Alvaria.com)</t>
  </si>
  <si>
    <t>Culver, Brent</t>
  </si>
  <si>
    <t>Updated Project schedule [505563 -Jet Blue - Premise APM Upgrade to V.21]</t>
  </si>
  <si>
    <t>RE: JB ODBC Drivers</t>
  </si>
  <si>
    <t>RE: CMS 19 Alignment [505563 -Jet Blue - Premise APM Upgrade to V.21]</t>
  </si>
  <si>
    <t>RE: PNC Bank ACD add</t>
  </si>
  <si>
    <t>RE: PNC; Cloud adapter project touchpoint</t>
  </si>
  <si>
    <t>Bock, April [C]</t>
  </si>
  <si>
    <t>RE: Project 505926 AFNI Workforce expansion ACD &amp; RTA feeds to Cisco UCCE [Kickoff]</t>
  </si>
  <si>
    <t>Srinivas, Aswath</t>
  </si>
  <si>
    <t>RE: [EXTERNAL]RE: [EXTERNAL]Project 505926 AFNI Workforce expansion ACD &amp; RTA feeds to Cisco UCCE</t>
  </si>
  <si>
    <t>James Moore</t>
  </si>
  <si>
    <t>Beal, Steve</t>
  </si>
  <si>
    <t>FW: WFM Segment Export/Email testing [505845]</t>
  </si>
  <si>
    <t>RE: WFM Segment Export/Email testing</t>
  </si>
  <si>
    <t>505845 -Credit Acceptance Corp. - WFM/APM and AQM Upgrade to V21, Resource working hours per contract.</t>
  </si>
  <si>
    <t>Robert Hickey</t>
  </si>
  <si>
    <t>RE: AQM Incident</t>
  </si>
  <si>
    <t>RE: Stereo support readiness for 505845 -Credit Acceptance Corp. - WFM/APM and AQM Upgrade to V21.</t>
  </si>
  <si>
    <t>Chmel, Greg</t>
  </si>
  <si>
    <t>505936 -Synnex - Dell - Accenture - WFM Upgrade V19- V21.1</t>
  </si>
  <si>
    <t>505936 -Synnex - Dell - Accenture - WFM Upgrade V19- V21.1 Client briefing.</t>
  </si>
  <si>
    <t>Pacuribot, Jonathan Renz</t>
  </si>
  <si>
    <t>Beal, Stephen (steve.beal@Alvaria.com)</t>
  </si>
  <si>
    <t>Melinda I Memoli</t>
  </si>
  <si>
    <t>FW: Alvaria Workforce DR VM Move SOW [505971 Assurant full reinstall]</t>
  </si>
  <si>
    <t>Rafael Davila</t>
  </si>
  <si>
    <t>505978 Rushmore - New AQM Server</t>
  </si>
  <si>
    <t>RE: 505978 Rushmore - New AQM Server [EXTERNAL]</t>
  </si>
  <si>
    <t>CCI - Weekly Project Checkpoint</t>
  </si>
  <si>
    <t>Schepis, Roman</t>
  </si>
  <si>
    <t>Your daily briefing</t>
  </si>
  <si>
    <t>Microsoft Viva</t>
  </si>
  <si>
    <t>RE: Please assign me to transitioned projects from Deb 505845 CAC, 505563 JetBlue</t>
  </si>
  <si>
    <t>NA I&amp;O Practice Qrt PS Forecast by Project Schedule</t>
  </si>
  <si>
    <t>Report results ((JS) 30 days APS Go Live NA Trac)</t>
  </si>
  <si>
    <t>Jason Schlinsog</t>
  </si>
  <si>
    <t>Sullivan, Jan</t>
  </si>
  <si>
    <t>Change Management</t>
  </si>
  <si>
    <t>Mishra, Nirmal</t>
  </si>
  <si>
    <t>Srinivasan, Goutham</t>
  </si>
  <si>
    <t>RE: Synnex-Dell-Accenture- WFM Upgrade V19- V21.1 || Server Audit</t>
  </si>
  <si>
    <t>RE: R.A.: Reta, Felix #395033 PA#: 505845, 6167 Credit Acceptance Corp, REQ_UIP IC</t>
  </si>
  <si>
    <t>505017</t>
  </si>
  <si>
    <t>505453</t>
  </si>
  <si>
    <t>505909</t>
  </si>
  <si>
    <t>Projects</t>
  </si>
  <si>
    <t>505898</t>
  </si>
  <si>
    <t>Closing project, cont...</t>
  </si>
  <si>
    <t>Project 505926 AFNI Workforce expansion ACD &amp; RTA feeds to Cisco UCCE [Kickoff]</t>
  </si>
  <si>
    <t>505921</t>
  </si>
  <si>
    <t>Source</t>
  </si>
  <si>
    <t>Inbox email</t>
  </si>
  <si>
    <t>505983</t>
  </si>
  <si>
    <t>Automatic reply: Emergency/Overflow CAB CR Review</t>
  </si>
  <si>
    <t>Folder email</t>
  </si>
  <si>
    <t>RE: 505742 Consumer Cellular - Via WFM Training Lab</t>
  </si>
  <si>
    <t>505983 TD Bank</t>
  </si>
  <si>
    <t>Emergency/Overflow CAB CR Review</t>
  </si>
  <si>
    <t>Melinda I Memoli, Mishra, Nirmal, Reta, Felix [C]</t>
  </si>
  <si>
    <t>Timesheets</t>
  </si>
  <si>
    <t>Onboarding Document Checklist</t>
  </si>
  <si>
    <t>Review Alvaria SDLC &amp; RACI</t>
  </si>
  <si>
    <t>505898 UNIFIED IP™ SCREEN POP APPLICATION FOR SAGENT SOW</t>
  </si>
  <si>
    <t>☮ ⛵ Testing 1 2 3 action: Deleted</t>
  </si>
  <si>
    <t>R.A.: Reta, Felix #390201 PA#: 505898, 50801 Computershare Inc, REQ_Aspect Developer</t>
  </si>
  <si>
    <t>Clients</t>
  </si>
  <si>
    <t>Waterfield timesheet items</t>
  </si>
  <si>
    <t>Camis 505017 - WFM project - Optimization workshop</t>
  </si>
  <si>
    <t>FW: R.A.: Reta, Felix #390767 PA#: 505909, 6970 M&amp;T Bank, REQ_Solutions Architect</t>
  </si>
  <si>
    <t>3.4 Emailed Linda Hottum cust. PM 505909 M&amp;T Bank certs</t>
  </si>
  <si>
    <t>Schedule meeting with customer: subject: Scheduling your workshop.</t>
  </si>
  <si>
    <t>Final task, 5 days GC for United Biosource LLC : 505453 United BioSource Corp.-WFM Hosted Upgrade 8.3 to 21</t>
  </si>
  <si>
    <t>[EXTERNAL]Final task, 5 days GC for United Biosource LLC : 505453 United BioSource Corp.-WFM Hosted Upgrade 8.3 to 21</t>
  </si>
  <si>
    <t>Ping April for  Project 505921 PNC Bank</t>
  </si>
  <si>
    <t>RE: Kick off development for UNIFIED IP™ SCREEN POP APPLICATION FOR SAGENT [505898] Adjusted to client MT</t>
  </si>
  <si>
    <t>Sales to Implementation Kickoff Ring LLC action: from Inbox</t>
  </si>
  <si>
    <t>RE: PNC Technical meeting ACD Historical and RTA feeds into WFM [505921]</t>
  </si>
  <si>
    <t>RE: Updating UIP Call Center server SSL Certificates, Alvaria Case 01212743 [505909]</t>
  </si>
  <si>
    <t>FW: Scheduling your multichannel workshop. [504133 HGS USA - WFM 8.1 to 18.x Upgrade]</t>
  </si>
  <si>
    <t>INTERNAL - ICBC Cutover Planning and Readiness action: from Inbox</t>
  </si>
  <si>
    <t>FW: Updating UIP Call Center server SSL Certificates, Alvaria Case 01212743 [505909]</t>
  </si>
  <si>
    <t>RE: Alvaria / Aspect Resource &amp; Workset for PNC [505921]</t>
  </si>
  <si>
    <t>Practice QTR PS Forecast review</t>
  </si>
  <si>
    <t>Xpress</t>
  </si>
  <si>
    <t>RE: R.A.: Reta, Felix #391905 PA#: 505926, 6881 AFNI Inc, REQ_WFM IC</t>
  </si>
  <si>
    <t>RE: PNC Bank WFM Report Customization</t>
  </si>
  <si>
    <t>Issue S2I with team</t>
  </si>
  <si>
    <t>RE: RFC0150306 Update UIP Millsboro certificates on 3/22 at 9:30 pm ET</t>
  </si>
  <si>
    <t>505921 PNC Bank - PS, ACD Historical and RTA Feeds to WFM, Technical planning meeting cont...</t>
  </si>
  <si>
    <t>RE: [EXTERNAL]Final task, 5 days GC for United Biosource LLC : 505453 United BioSource Corp.-WFM Hosted Upgrade 8.3 to 21</t>
  </si>
  <si>
    <t>505017 Camis (Credit Acceptance Corp) - WFM Upgrade 8.3- 20</t>
  </si>
  <si>
    <t>FW: 505921 PNC Bank - PS, ACD Historical and RTA Feeds to WFM, Technical planning meeting cont...</t>
  </si>
  <si>
    <t>RE: 505921 PNC Bank - PS, ACD Historical and RTA Feeds to WFM, Technical planning meeting cont...</t>
  </si>
  <si>
    <t>RFC0150306 Update UIP Millsboro certificates on 3/22 at 9:30 pm ET</t>
  </si>
  <si>
    <t>Set up NS/SF</t>
  </si>
  <si>
    <t>3/24/2022 Dan Upton timesheet approval for 3hr 3/14 ,16,17. I can vouch for the 15 &amp; 17th when we kicked off &amp; continued tech discussions</t>
  </si>
  <si>
    <t>Please provide with email chain with PNC Joseph Lewandowski. Case 01253102</t>
  </si>
  <si>
    <t>ACD feed ticket 01253102.</t>
  </si>
  <si>
    <t>RE: 505926 AFNI Workforce expansion, Internal S2I meeting</t>
  </si>
  <si>
    <t>Please assign me to transitioned projects from Deb 505845 CAC, 505563 JetBlue</t>
  </si>
  <si>
    <t>RE: Template to Use Below - FW: Closing Project Process Question</t>
  </si>
  <si>
    <t>Emailed Adam AFNI, fup</t>
  </si>
  <si>
    <t>Project 505926 AFNI Workforce expansion ACD &amp; RTA feeds to Cisco UCCE.</t>
  </si>
  <si>
    <t>30 days APS Go Live</t>
  </si>
  <si>
    <t xml:space="preserve">RE: Weekly Project Status Meeting JetBlue/Alvaria </t>
  </si>
  <si>
    <t>505921 PNC Bank - PS, ACD Historical and RTA Feeds to WFM [Completion notice]</t>
  </si>
  <si>
    <t>505909 M&amp;T - Case 01212743- UIP Certs Expiring</t>
  </si>
  <si>
    <t>S2I meeting, SA, April Bock</t>
  </si>
  <si>
    <t>3.30 email to Richard &amp; Joseph to sign completion notice, fup reply</t>
  </si>
  <si>
    <t>FW: [EXTERNAL]United Biosource Corp Version Enhancement Workshop 8.3-21</t>
  </si>
  <si>
    <t>505017 Camis Lori requested reminder end of April</t>
  </si>
  <si>
    <t>505845 CAC Issue meeting to formulate CR reqs with Dan Upton, Steve Beal and April</t>
  </si>
  <si>
    <t>Adam sent Cisco file to April, fup</t>
  </si>
  <si>
    <t>PNC closing [505921]</t>
  </si>
  <si>
    <t>Closing 505909 M&amp;T Bank certs</t>
  </si>
  <si>
    <t>R.A.: Reta, Felix #392592 PA#: 505936, 38389 TD SYNNEX Corporation, REQ_WFM BAC</t>
  </si>
  <si>
    <t>Close Milestone 1, initiation</t>
  </si>
  <si>
    <t>Project 505926 AFNI Workforce expansion ACD &amp; RTA feeds to Cisco UCCE</t>
  </si>
  <si>
    <t>Resource Allocation Approved (Resource: Biggs, Tumoyia R) [505926, 6881 AFNI Inc,]</t>
  </si>
  <si>
    <t>505955 Screen scraper upgrade.</t>
  </si>
  <si>
    <t>Accepted: Question about CTI pulling calls action: From ItemSend ☮</t>
  </si>
  <si>
    <t>505971 Assurant Meet with April on Friday 4.15</t>
  </si>
  <si>
    <t>FW: 4-13.22 Weekly Project Status Meeting JetBlue/Alvaria [505563]</t>
  </si>
  <si>
    <t>505845 Confirm with client that space and visibility to AQM servers is in place for all 3 environments</t>
  </si>
  <si>
    <t>505845 Schedule internal briefing chat with @April, @Steve, @Dan with assigned IC</t>
  </si>
  <si>
    <t>FW: jetblue</t>
  </si>
  <si>
    <t>Project 505926 AFNI Workforce expansion Workshop</t>
  </si>
  <si>
    <t>Stereo support readiness for 505845 -Credit Acceptance Corp. - WFM/APM and AQM Upgrade to V21.</t>
  </si>
  <si>
    <t>RE: 505978 Rushmore - New AQM Server.</t>
  </si>
  <si>
    <t>RE: CCI - Weekly Project Checkpoint</t>
  </si>
  <si>
    <t>(Resource: REQ_UIP IC) for 505845 -Credit Acceptance Corp. - WFM/APM and AQM Upgrade to V21</t>
  </si>
  <si>
    <t>Re: File media WFM 21.1 for 505936 -Synnex - Dell - Accenture - WFM Upgrade V19- V21.1</t>
  </si>
  <si>
    <t>4/21/2022 Order file media WFM 21.1</t>
  </si>
  <si>
    <t>RE: Re: File media WFM 21.1 for 505936 -Synnex - Dell - Accenture - WFM Upgrade V19- V21.1</t>
  </si>
  <si>
    <t>FW: 505936 -Synnex - Dell - Accenture - WFM Upgrade V19- V21.1</t>
  </si>
  <si>
    <t>RE: WFM 21 Dev [505845 -Credit Acceptance Corp. - WFM/APM and AQM Upgrade to V21]</t>
  </si>
  <si>
    <t>RE: PM Feedback</t>
  </si>
  <si>
    <t>RE: 505978 Rushmore - New AQM Server CERTS [EXTERNAL]</t>
  </si>
  <si>
    <t>RE: Change Request for 505845 -Credit Acceptance Corp. - WFM/APM and AQM Upgrade to V21</t>
  </si>
  <si>
    <t>Shanoob, Muhammed</t>
  </si>
  <si>
    <t xml:space="preserve">Hi Reta, Felix [C], </t>
  </si>
  <si>
    <t xml:space="preserve">WARNING: This email </t>
  </si>
  <si>
    <t xml:space="preserve"> &lt;http://click.netsu</t>
  </si>
  <si>
    <t xml:space="preserve"> 	 _x000D_
 	 _x000D_
 	 Hi Feli</t>
  </si>
  <si>
    <t>Thank you for writin</t>
  </si>
  <si>
    <t xml:space="preserve">TD SOW and WBS </t>
  </si>
  <si>
    <t xml:space="preserve"> _x000D_
_x000D_
Hi Felix,_x000D_
_x000D_
 _x000D_</t>
  </si>
  <si>
    <t>RE: SSL Cerfificate installations for M&amp;T Development UIP system and AQM systems</t>
  </si>
  <si>
    <t>Closing 505921 PNC Bank - PS, ACD Historical and RTA Feeds to WFM</t>
  </si>
  <si>
    <t>Good morning Jason,_x000D_</t>
  </si>
  <si>
    <t>Reta, Felix [C], Robert Hickey, James Moore, Scott Korte, Jon Harris, Bock, April [C], Chris Moore, Runyon, Michael, Hudson, Robert, april.bock@waterfield.com, Srinivas, Aswath, Hutcherson, Deborah [C], Shanoob, Muhammed</t>
  </si>
  <si>
    <t>BAC Transition for 505845 -Credit Acceptance Corp. - WFM/APM and AQM Upgrade to V21</t>
  </si>
  <si>
    <t>Reta, Felix [C], Shanoob, Muhammed, Bock, April [C], April Bock, felix.reta@gmail.com</t>
  </si>
  <si>
    <t>Comments on feedback.</t>
  </si>
  <si>
    <t>Reta, Felix [C], April Bock, Bock, April [C], felix.reta@gmail.com</t>
  </si>
  <si>
    <t>nirmal ewfm review wfo</t>
  </si>
  <si>
    <t>CAC QA stereo configuration [505845]</t>
  </si>
  <si>
    <t>22-Apr</t>
  </si>
  <si>
    <t>Workshop Project 505926 AFNI Workforce expansion ACD &amp; RTA feeds to Cisco UCCE</t>
  </si>
  <si>
    <t>BAC Transition for 505845 -Credit Acceptance Corp. - WFM/APM and AQM Upgrade to V21 action: From ItemSend ☮</t>
  </si>
  <si>
    <t>505978 Rushmore - New AQM Server CERTS</t>
  </si>
  <si>
    <t>Manager, Projects</t>
  </si>
  <si>
    <t>CR002 Dev reset for [505845 -Credit Acceptance Corp. - WFM/APM and AQM Upgrade to V21</t>
  </si>
  <si>
    <t>28-Apr</t>
  </si>
  <si>
    <t>LeftArrow:     UniConst = ChrW(8592)</t>
  </si>
  <si>
    <t>RightArrow:    UniConst = ChrW(8594)</t>
  </si>
  <si>
    <t>Clock2:        UniConst = ChrW(55357) &amp; ChrW(56657)</t>
  </si>
  <si>
    <t>SailBoat:      UniConst = ChrW(9973)</t>
  </si>
  <si>
    <t>PeaceLove:     UniConst = ChrW(9774)</t>
  </si>
  <si>
    <t>CheckOK:       UniConst = ChrW(9989)</t>
  </si>
  <si>
    <t>Ghost:         UniConst = ChrW(128123)</t>
  </si>
  <si>
    <t>MapleLeaf:     UniConst = ChrW(127809)</t>
  </si>
  <si>
    <t>Calaca:        UniConst = ChrW(128128)</t>
  </si>
  <si>
    <t>Corazon:       UniConst = ChrW(129505)</t>
  </si>
  <si>
    <t>Finger1:       UniConst = ChrW(128070)</t>
  </si>
  <si>
    <t>HandBro:       UniConst = ChrW(128587)</t>
  </si>
  <si>
    <t>Airplane:      UniConst = ChrW(9992)</t>
  </si>
  <si>
    <t>XMark:         UniConst = ChrW(917592)</t>
  </si>
  <si>
    <t>Umbrella:      UniConst = ChrW(127746)</t>
  </si>
  <si>
    <t>DogFace:</t>
  </si>
  <si>
    <t>✅</t>
  </si>
  <si>
    <t xml:space="preserve">UBC 4.7 Tumoyia scheduling, follow up completion </t>
  </si>
  <si>
    <t>505936 -Synnex - Dell - Accenture - WFM Upgrade V19- V21.1 WORKSHOP</t>
  </si>
  <si>
    <t>CR002 approval 505845 CAC</t>
  </si>
  <si>
    <t>☮ ⛵ 505983 TD Auto Finance - AQM Certs 2022 ✈🕑</t>
  </si>
  <si>
    <t>☮ ⛵ CMS 19 Alignment [505563 -Jet Blue - Premise APM Upgrade to V.21] ✈🕑</t>
  </si>
  <si>
    <t>☮ ⛵ 505971 Assurant - Full Reinstall - PS only ✈🕑</t>
  </si>
  <si>
    <t>☮ ⛵ RE: TD Bank Cert's - USAN resources ✈🕑</t>
  </si>
  <si>
    <t>☮ ⛵ RE: TDA USAN Certs - CSRs  - Replacement - April 12, 2022 Expiration [505983 AQM] ✈🕑</t>
  </si>
  <si>
    <t>☮ ⛵ RE: Project 505926 AFNI Workforce expansion Workshop ✈🕑</t>
  </si>
  <si>
    <t>505926 AFNI Afni WFM Files</t>
  </si>
  <si>
    <t>☮ ⛵ RE: Afni WFM Files [505926 AFNI ] ✈🕑</t>
  </si>
  <si>
    <t>☮ ⛵ RE: 505978 Rushmore - New AQM Server CERTS [EXTERNAL] ✈🕑</t>
  </si>
  <si>
    <t>☮ ⛵ AQM Certificate Installation action: from Inbox ✈🕑</t>
  </si>
  <si>
    <t>☮ ⛵ RE: 505983 TD Auto Finance - AQM Certs 2022 ✈🕑</t>
  </si>
  <si>
    <t>☮ ⛵ RE: 505955 Screen scraper upgrade. [EXTERNAL] ✈🕑</t>
  </si>
  <si>
    <t>☮ ⛵ RE: 505971 Assurant - Full Reinstall - PS only ✈🕑</t>
  </si>
  <si>
    <t>☮ ⛵ RE: 505978 Rushmore - New AQM Server ✈🕑</t>
  </si>
  <si>
    <t>☮ ⛵ FW: WFM 21 Dev [505845 -Credit Acceptance Corp. - WFM/APM and AQM Upgrade to V21] ✈🕑</t>
  </si>
  <si>
    <t>☮ ⛵ 505955 Rushmore UIP Screen Pop Migration. ✈🕑</t>
  </si>
  <si>
    <t>☮ ⛵ CAC Stuff action: from Inbox ✈🕑</t>
  </si>
  <si>
    <t>☮ ⛵ RE: [EXTERNALBock, April [C] &lt;April.Bock@Alvaria.com&gt;]RE: Afni WFM Files ✈🕑</t>
  </si>
  <si>
    <t>☮ ⛵ Change Request. WFM 21 Dev [505845 -Credit Acceptance Corp. - WFM/APM and AQM Upgrade to V21] ✈🕑</t>
  </si>
  <si>
    <t>☮ ⛵ RE: WFM 21 Dev [505845 -Credit Acceptance Corp. - WFM/APM and AQM Upgrade to V21] ✈🕑</t>
  </si>
  <si>
    <t>Green Category</t>
  </si>
  <si>
    <t>Change Passwords</t>
  </si>
  <si>
    <t>505978 Rushmore Projected Go_Live Date↑</t>
  </si>
  <si>
    <t>505845 CR002 Sales Booking process started</t>
  </si>
  <si>
    <t>505967 For kickoff Daniel Wood</t>
  </si>
  <si>
    <t>505967</t>
  </si>
  <si>
    <t>Draft CR003 505845</t>
  </si>
  <si>
    <t>☮ ⛵ 505967 JetBlue - PS - Secure Agent ✈🕑</t>
  </si>
  <si>
    <t>☮ ⛵ AQM Cert  [505983 TD Auto Finance - AQM Certs 2022] ✈🕑</t>
  </si>
  <si>
    <t>☮ ⛵ Project review with CAC [505845 -Credit Acceptance Corp. - WFM/APM and AQM Upgrade to V21] ✈🕑</t>
  </si>
  <si>
    <t>☮ ⛵ Date proposed for move. [505971 Assurant - Full Reinstall - PS only] ✈🕑</t>
  </si>
  <si>
    <t>☮ ⛵ Synnex-Dell-Accenture- WFM Upgrade V19- V21.1 || APEA action: from Inbox ✈🕑</t>
  </si>
  <si>
    <t>☮ ⛵ RE: 505742 Consumer Cellular - Via WFM Training Lab ✈🕑</t>
  </si>
  <si>
    <t>☮ ⛵ RE: AQM Cert  [505983 TD Auto Finance - AQM Certs 2022] ✈🕑</t>
  </si>
  <si>
    <t>☮ ⛵ FW: AQM Cert  [505983 TD Auto Finance - AQM Certs 2022] ✈🕑</t>
  </si>
  <si>
    <t>Hudson, Robert</t>
  </si>
  <si>
    <t xml:space="preserve">505845 -Credit Acceptance Corp. - WFM/APM and AQM Upgrade to V21 Daily Update </t>
  </si>
  <si>
    <t>Hottum, Linda</t>
  </si>
  <si>
    <t>ADAM BROWNFIELD</t>
  </si>
  <si>
    <t>Johnson, Austin</t>
  </si>
  <si>
    <t>Gardner, Dee Dee</t>
  </si>
  <si>
    <t>Bodrero, Brenda</t>
  </si>
  <si>
    <t>RE: 505983 TD Auto Finance - AQM Certs 2022</t>
  </si>
  <si>
    <t>Burgess, Silvia C (Pronouns: she/her/hers)</t>
  </si>
  <si>
    <t>RE: CAC - WFM Data Discrepancies</t>
  </si>
  <si>
    <t>Automatic reply: 505955 Screen scraper upgrade. [EXTERNAL]</t>
  </si>
  <si>
    <t>Stephanie Barker</t>
  </si>
  <si>
    <t>Rushmore's AQM certificates - Expiring Friday</t>
  </si>
  <si>
    <t xml:space="preserve">Felix, Goutham, _x000D_
_x000D_
</t>
  </si>
  <si>
    <t>Patrick Nash</t>
  </si>
  <si>
    <t>Silvia, _x000D_
_x000D_
 _x000D_
_x000D_
I h</t>
  </si>
  <si>
    <t>Change Request for mobile app</t>
  </si>
  <si>
    <t>Felix/Rob Hickey,_x000D_
_x000D_</t>
  </si>
  <si>
    <t>RE: Rushmore's AQM certificates - Expiring Friday</t>
  </si>
  <si>
    <t xml:space="preserve">Thanks Felix,_x000D_
_x000D_
 _x000D_
</t>
  </si>
  <si>
    <t>Yes Steve, I have va</t>
  </si>
  <si>
    <t xml:space="preserve">Thank you Goutham.  </t>
  </si>
  <si>
    <t>Yes, Steve._x000D_
_x000D_
I wil</t>
  </si>
  <si>
    <t>I believe I will hav</t>
  </si>
  <si>
    <t>RE: 505971 Assurant - Full Reinstall - PS only</t>
  </si>
  <si>
    <t>Here is the purchase</t>
  </si>
  <si>
    <t>RE: AQM Cert</t>
  </si>
  <si>
    <t>Re: WFM 21 Dev [505845 -Credit Acceptance Corp. - WFM/APM and AQM Upgrade to V21]</t>
  </si>
  <si>
    <t>Fitzgerald, Kate</t>
  </si>
  <si>
    <t>Felix,_x000D_
_x000D_
I’m scanni</t>
  </si>
  <si>
    <t>Trost, Lou Ann [C] shared "Project Change Request Guide" with you.</t>
  </si>
  <si>
    <t>Trost, Lou Ann [C]</t>
  </si>
  <si>
    <t xml:space="preserve"> 	_x000D_
Trost, Lou Ann [</t>
  </si>
  <si>
    <t>RE: Trost, Lou Ann [C] shared "Project Change Request Guide" with you.</t>
  </si>
  <si>
    <t>And Felix, you are n</t>
  </si>
  <si>
    <t>Thank you Jan.  Here</t>
  </si>
  <si>
    <t>RE: SSL Cerfificate installations for M&amp;T Development UIP system and AQM systems M&amp;T Bank</t>
  </si>
  <si>
    <t xml:space="preserve">Felix, _x000D_
_x000D_
_x000D_
Trying </t>
  </si>
  <si>
    <t>RE: 505955 Rushmore UIP Screen Pop Migration. [EXTERNAL]</t>
  </si>
  <si>
    <t>Amanda Paceley</t>
  </si>
  <si>
    <t>RE: 505978 Rushmore AQM Server. [EXTERNAL]</t>
  </si>
  <si>
    <t>WBS Template Attached - RE: Trost, Lou Ann [C] shared "Project Change Request Guide" with you.</t>
  </si>
  <si>
    <t xml:space="preserve">Template attached - </t>
  </si>
  <si>
    <t>RE: Synnex-Dell-Accenture- WFM Upgrade V19- V21.1 || APEA</t>
  </si>
  <si>
    <t>CR Tracker URL - RE: WBS Template Attached - RE: Trost, Lou Ann [C] shared "Project Change Request Guide" with you.</t>
  </si>
  <si>
    <t>Below is the url for</t>
  </si>
  <si>
    <t>RE: 505978 Rushmore - AQM QWS Server</t>
  </si>
  <si>
    <t xml:space="preserve">Open an REQ_AQM BAC </t>
  </si>
  <si>
    <t xml:space="preserve"> _x000D_
_x000D_
Felix, I believ</t>
  </si>
  <si>
    <t>No worries, and glad</t>
  </si>
  <si>
    <t>Automatic reply: [EXTERNAL]RE: [EXTERNALBock, April [C] &lt;April.Bock@Alvaria.com&gt;]RE: Afni WFM Files</t>
  </si>
  <si>
    <t>Hi Felix and April,_x000D_</t>
  </si>
  <si>
    <t>RE: Change Request. WFM 21 Dev [505845 -Credit Acceptance Corp. - WFM/APM and AQM Upgrade to V21]</t>
  </si>
  <si>
    <t>Thanks Felix – the C</t>
  </si>
  <si>
    <t>NetSuite Password Expiration Warning</t>
  </si>
  <si>
    <t>NetSuite Notification</t>
  </si>
  <si>
    <t>RE: Adding Break Flag to Custom Job</t>
  </si>
  <si>
    <t>Hi Brenda;_x000D_
_x000D_
 _x000D_
_x000D_
I</t>
  </si>
  <si>
    <t>I'll do some digging</t>
  </si>
  <si>
    <t>RE: CR Tracker URL - RE: WBS Template Attached - RE: Trost, Lou Ann [C] shared "Project Change Request Guide" with you.</t>
  </si>
  <si>
    <t>Hi all,_x000D_
 _x000D_
I have a</t>
  </si>
  <si>
    <t>Ticket Creation Confirmation:  INC01612047</t>
  </si>
  <si>
    <t>Helpdesk Support</t>
  </si>
  <si>
    <t xml:space="preserve"> &lt;https://aspect.my.</t>
  </si>
  <si>
    <t>Ticket Creation Confirmation:  INC01612049</t>
  </si>
  <si>
    <t>Automatic reply: 505971 Assurant - Full Reinstall - PS only</t>
  </si>
  <si>
    <t>Hi Sir/Madam,_x000D_
_x000D_
Tha</t>
  </si>
  <si>
    <t>RE: Weekly Status Meeting - WFM &amp; AQM Upgrade 505845 -CAC</t>
  </si>
  <si>
    <t xml:space="preserve">Hi James _x000D_
_x000D_
Please </t>
  </si>
  <si>
    <t xml:space="preserve">Total Records 38 _x000D_
	</t>
  </si>
  <si>
    <t>I have found that SQ</t>
  </si>
  <si>
    <t>HI James _x000D_
_x000D_
 _x000D_
_x000D_
th</t>
  </si>
  <si>
    <t>Hi James_x000D_
_x000D_
Server l</t>
  </si>
  <si>
    <t>Calojero-Herrera, Angela</t>
  </si>
  <si>
    <t>Thank you Felix, I w</t>
  </si>
  <si>
    <t>Server Specs for WFM/Empower DMZ Servers</t>
  </si>
  <si>
    <t xml:space="preserve">April or Aswath,_x000D_
_x000D_
</t>
  </si>
  <si>
    <t>Yes you can._x000D_
_x000D_
 _x000D_
_x000D_</t>
  </si>
  <si>
    <t>PM Updates</t>
  </si>
  <si>
    <t>All, _x000D_
_x000D_
 _x000D_
_x000D_
Please</t>
  </si>
  <si>
    <t>RE: WEM Upgrade _  Consumer_Cellular</t>
  </si>
  <si>
    <t>Zuckerman, Dan</t>
  </si>
  <si>
    <t>The LAB sits on v20,</t>
  </si>
  <si>
    <t>Nadgir, Sachin</t>
  </si>
  <si>
    <t>Hi Dan,_x000D_
_x000D_
 _x000D_
_x000D_
Both</t>
  </si>
  <si>
    <t>Hi Sachin,_x000D_
_x000D_
 _x000D_
_x000D_
O</t>
  </si>
  <si>
    <t xml:space="preserve">Sorry for delay.  I </t>
  </si>
  <si>
    <t>FW: Server Specs for WFM/Empower DMZ Servers</t>
  </si>
  <si>
    <t xml:space="preserve">Steve, Dan: _x000D_
_x000D_
CAC </t>
  </si>
  <si>
    <t>Hi Jason,_x000D_
_x000D_
 _x000D_
_x000D_
No</t>
  </si>
  <si>
    <t>Okay, who from Produ</t>
  </si>
  <si>
    <t>FW: Approved by Order Management</t>
  </si>
  <si>
    <t>FYI_x000D_
_x000D_
 _x000D_
_x000D_
Greg Chm</t>
  </si>
  <si>
    <t>SO #SOASI027421</t>
  </si>
  <si>
    <t>Shetty, Disha</t>
  </si>
  <si>
    <t xml:space="preserve">Hi Felix,_x000D_
_x000D_
 _x000D_
_x000D_
I </t>
  </si>
  <si>
    <t>RE: Alliant SOW - Attached Updated Redline - Clean Copy</t>
  </si>
  <si>
    <t>Thanks All! _x000D_
_x000D_
 _x000D_
_x000D_</t>
  </si>
  <si>
    <t>RE: R.A.: Reta, Felix #396201 PA#: 505983, 7032 TD Bank N.A., REQ_AQM BAC</t>
  </si>
  <si>
    <t>Steve, would Bruce b</t>
  </si>
  <si>
    <t>***CR #831 Initiated/edited***</t>
  </si>
  <si>
    <t>Reta, Felix (felix.reta@alvaria.com)</t>
  </si>
  <si>
    <t>RE: PRJ Upgrade AQM-WFM - Review schedule with Alvaria</t>
  </si>
  <si>
    <t>Felix,_x000D_
_x000D_
 _x000D_
_x000D_
We un</t>
  </si>
  <si>
    <t>HI James _x000D_
_x000D_
I am do</t>
  </si>
  <si>
    <t>Understood, and that</t>
  </si>
  <si>
    <t>RE: 505967 JetBlue - PS - Secure Agent</t>
  </si>
  <si>
    <t xml:space="preserve">HI Felix – _x000D_
_x000D_
 _x000D_
_x000D_
</t>
  </si>
  <si>
    <t xml:space="preserve">Hello Jonathan,_x000D_
_x000D_
 </t>
  </si>
  <si>
    <t xml:space="preserve">Also, did they sign </t>
  </si>
  <si>
    <t>Since the customer i</t>
  </si>
  <si>
    <t>Ticket Closure Notification</t>
  </si>
  <si>
    <t>RE: AQM Cert  [505983 TD Auto Finance - AQM Certs 2022]</t>
  </si>
  <si>
    <t xml:space="preserve">Felix and Silvia, _x000D_
</t>
  </si>
  <si>
    <t>PRJ AQM - WFM Upgrade GANTT.xlsx</t>
  </si>
  <si>
    <t xml:space="preserve"> _x000D_
</t>
  </si>
  <si>
    <t>Hi Jason – The Aetna</t>
  </si>
  <si>
    <t>Feature Request - AQM</t>
  </si>
  <si>
    <t>Good afternoon Rober</t>
  </si>
  <si>
    <t>Thomas Lessard mentioned you in a comment</t>
  </si>
  <si>
    <t>G'day @Felix Reta​ a</t>
  </si>
  <si>
    <t>Anukul,_x000D_
_x000D_
 _x000D_
_x000D_
I am</t>
  </si>
  <si>
    <t>ACCSR-65</t>
  </si>
  <si>
    <t>Alvaria has been sug</t>
  </si>
  <si>
    <t>Goutham OOO on 2nd &amp; 3rd May 2022</t>
  </si>
  <si>
    <t>Hi All,_x000D_
_x000D_
 _x000D_
_x000D_
Plea</t>
  </si>
  <si>
    <t>TD Bank AQM Certs</t>
  </si>
  <si>
    <t>Rusk, Bruce</t>
  </si>
  <si>
    <t>Felix,_x000D_
_x000D_
 _x000D_
_x000D_
Can y</t>
  </si>
  <si>
    <t>Chadalavada, Ajay</t>
  </si>
  <si>
    <t>Since Friday would h</t>
  </si>
  <si>
    <t>HI James _x000D_
_x000D_
Hope no</t>
  </si>
  <si>
    <t xml:space="preserve"> _x000D_
_x000D_
 _x000D_
_x000D_
James Moor</t>
  </si>
  <si>
    <t xml:space="preserve">Here it is._x000D_
_x000D_
 _x000D_
_x000D_
</t>
  </si>
  <si>
    <t xml:space="preserve">Hi Felix _x000D_
_x000D_
Please </t>
  </si>
  <si>
    <t>Good call. I took th</t>
  </si>
  <si>
    <t>I am signing off, bu</t>
  </si>
  <si>
    <t xml:space="preserve">This has been added </t>
  </si>
  <si>
    <t>RE: WFM Dev Services stopped</t>
  </si>
  <si>
    <t>HI James _x000D_
_x000D_
Yes you</t>
  </si>
  <si>
    <t>Synnex-Dell-Accenture- WFM Upgrade V19- V21.1 || APEA</t>
  </si>
  <si>
    <t>Hi Felix,_x000D_
_x000D_
 _x000D_
_x000D_
Gr</t>
  </si>
  <si>
    <t xml:space="preserve">505978 Rushmore New AQM Server </t>
  </si>
  <si>
    <t>Yes, Rafael. You wou</t>
  </si>
  <si>
    <t>David Alexander</t>
  </si>
  <si>
    <t>RE: 505978 Rushmore - New AQM Server</t>
  </si>
  <si>
    <t>I checked with the t</t>
  </si>
  <si>
    <t xml:space="preserve">Hi All,_x000D_
_x000D_
 _x000D_
_x000D_
I’m </t>
  </si>
  <si>
    <t>Goutham sent a message</t>
  </si>
  <si>
    <t>Srinivasan, Goutham in Teams</t>
  </si>
  <si>
    <t>Still 1 concern, old</t>
  </si>
  <si>
    <t>Could you please che</t>
  </si>
  <si>
    <t>Goutham just confirm</t>
  </si>
  <si>
    <t>FW: R.A.: Reta, Felix #396117 PA#: 505978, 19684 Rushmore Loan Management Services Llc, Srinivasan, Goutham</t>
  </si>
  <si>
    <t>Goutham has been ass</t>
  </si>
  <si>
    <t>Resource Allocation Approved (Resource: Srinivasan, Goutham)</t>
  </si>
  <si>
    <t>I have updated sales</t>
  </si>
  <si>
    <t>Re: WEM Upgrade _  Consumer_Cellular</t>
  </si>
  <si>
    <t>+Felix_x000D_
_x000D_
The Lab is</t>
  </si>
  <si>
    <t xml:space="preserve">Great point Dan!_x000D_
_x000D_
</t>
  </si>
  <si>
    <t>Hi Dan,_x000D_
_x000D_
 _x000D_
_x000D_
We u</t>
  </si>
  <si>
    <t>TD Bank Cert's - USAN resources</t>
  </si>
  <si>
    <t xml:space="preserve"> _x000D_
_x000D_
Jonathan/Matthe</t>
  </si>
  <si>
    <t>Re: TD Bank Cert's - USAN resources</t>
  </si>
  <si>
    <t>Lisak, Jonathan</t>
  </si>
  <si>
    <t>Hi Jason,_x000D_
_x000D_
 _x000D_
_x000D_
We</t>
  </si>
  <si>
    <t>RE: TD Bank Cert's - USAN resources</t>
  </si>
  <si>
    <t>Thanks..  here is th</t>
  </si>
  <si>
    <t xml:space="preserve">Good morning,_x000D_
_x000D_
 _x000D_
</t>
  </si>
  <si>
    <t>Automatic reply: TD Bank Cert's - USAN resources</t>
  </si>
  <si>
    <t>*** OUT OF OFFICE***</t>
  </si>
  <si>
    <t>RE: TDA USAN Certs - CSRs  - Replacement - April 12, 2022 Expiration</t>
  </si>
  <si>
    <t>Cushing, Barry</t>
  </si>
  <si>
    <t xml:space="preserve">Hi Patrick,_x000D_
_x000D_
 _x000D_
_x000D_
</t>
  </si>
  <si>
    <t>Yes – I have it.  Ki</t>
  </si>
  <si>
    <t>TD Auto Certificate Installation</t>
  </si>
  <si>
    <t>Our cert installer i</t>
  </si>
  <si>
    <t>Automatic reply: AQM Cert  [505983 TD Auto Finance - AQM Certs 2022]</t>
  </si>
  <si>
    <t>FW: R.A.: Reta, Felix #396201 PA#: 505983, 7032 TD Bank N.A., Rusk, Bruce</t>
  </si>
  <si>
    <t>PO,_x000D_
_x000D_
 _x000D_
_x000D_
Bruce Ru</t>
  </si>
  <si>
    <t>Resource Allocation Approved (Resource: Rusk, Bruce)</t>
  </si>
  <si>
    <t>Hello Alvaria team,_x000D_</t>
  </si>
  <si>
    <t>Hello Deb,_x000D_
_x000D_
 _x000D_
_x000D_
W</t>
  </si>
  <si>
    <t>FW: SSL Cerfificate installations for M&amp;T Development UIP system and AQM systems</t>
  </si>
  <si>
    <t>Further to our conve</t>
  </si>
  <si>
    <t>Hi Deb,_x000D_
_x000D_
 _x000D_
_x000D_
We n</t>
  </si>
  <si>
    <t>Hi Austin.. _x000D_
_x000D_
Coul</t>
  </si>
  <si>
    <t>RE: Closing 505921 PNC Bank - PS, ACD Historical and RTA Feeds to WFM</t>
  </si>
  <si>
    <t>Thanks Felix, this h</t>
  </si>
  <si>
    <t>Reta, Felix [C], Bock, April [C], Pyase1, Bhagat, John Wafel, James Moore, Beal, Steve</t>
  </si>
  <si>
    <t>AQM WFM Upgrade work session</t>
  </si>
  <si>
    <t>Robert Hickey, Scott Korte, Bock, April [C], Reta, Felix [C], Srinivas, Aswath, James Moore</t>
  </si>
  <si>
    <t>Reta, Felix [C], Mishra, Nirmal, Anil Kunnanthody, Upton, Dan, Jonathan Renz Pacuribot, Russell j i Baello, Renier M Forio, Kumar, Pankaj, felix.reta@gmail.com</t>
  </si>
  <si>
    <t>Change request disposition, mentoring.</t>
  </si>
  <si>
    <t>Reta, Felix [C], Sullivan, Jan, Trost, Lou Ann [C], Sharif, Roshan [C]</t>
  </si>
  <si>
    <t>Administrative Professionals Day</t>
  </si>
  <si>
    <t>Assurant APEA</t>
  </si>
  <si>
    <t>Hudson, Robert, Reta, Felix [C], Bock, April [C], Srinivasan, Goutham</t>
  </si>
  <si>
    <t>505967 JetBlue - PS, Secure Agent S2I meeting</t>
  </si>
  <si>
    <t>Reta, Felix [C], Alla, Prabhakar, Johnson, Austin, felix.reta@gmail.com</t>
  </si>
  <si>
    <t>Schepis, Roman, Reta, Felix [C], Lomakin, Roman, Gopalakrishnan, Amitha, Gravel, Martin, Nadgir, Sachin, Pederson, Luke, Culver, Brent, Biggs, Tumoyia, Jim Henderson, Mark Coleman, Helms, Marty, Benjamin Boney, Aaron Lang, Tad Mason, Jeff Felton, Adam Davids, Raymon Bickell, Lee Mcdonald, Srinivasan, Goutham, Simon, Francis, Conrad Palmer, Ryan Neal, Deborah Bond, Zuckerman, Dan, Kapoor, Tanu, Bobby Manning, michael.malerich@consumercellular.com, Lawson, Shawn, Terry Sumner, James, Eric</t>
  </si>
  <si>
    <t>CAC Stuff</t>
  </si>
  <si>
    <t>Bock, April [C], Reta, Felix [C]</t>
  </si>
  <si>
    <t>AQM Cert</t>
  </si>
  <si>
    <t>Burgess, Silvia C (Pronouns: she/her/hers), Murugaiyan, Vijayasankar, Loesch, Martin (Pronouns: he/him/his), Reta, Felix [C], Chadalavada, Ajay</t>
  </si>
  <si>
    <t>AQM Certificate Installation</t>
  </si>
  <si>
    <t>Rafael Davila, Reta, Felix [C], Srinivasan, Goutham, Christopher Brown, Marlon De Joya, Pablo Ikehara</t>
  </si>
  <si>
    <t>Change Management, CAB - Hosted_MS, CAB - Cloud, CAB - Via, Jefferson, John, Kelly, Jarlath, Blackwell, John, Newman, Randy, Staten, Jonathan, Murphy, Kealan, Moore, Chris, Wiegard, Hanno, Durrough, Lenny, Singh, Ashish, Scoot, Howard, Boughner, Randall, Boring, Scott, Norton, David, Pacheco, Henry, McDonnell, Jon, Kumar, Narendra, Piatt, Gregg, Grigorian, Anna, Serrano, Michelle, Texter, Jim, Olszewski, Tracey, Subbarayan, Saravanan, Casillas, Alex, Crapps, MaryEllen [C], Smith, Rodney, Owen, Martin, Riley, MaryEllen, Goldstein, Jeffrey, Harper, Paul, Beasley, Michael, Jensen, John, Zuckerman, Dan, Kaleski, Mike, Craemer, Alex, Sundararajan, Senthil, Riemann, Mark, Jeffery, Richard, Lewandowski, Kimberly, Chandorkar, Sujay, Ramadas, Ravishankara, Neild, Robert, Stewart, Kim, Rai, Rohit, APS.AMER-PM-ALL, Ammundsen, Diane [C], Rosario, Colin, Anderson, Jeff, Sharif, Roshan [C], Hamri, Hassan, Reta, Felix [C], Wieler, Beth, Holloway, Marcus, Rhodes, Jason, Sullivan, Jan, Halliwell, John, Donadeo, Chris, Carabbio, Joe, Jones, Brian, Raj, Arun, Kotturesha, Kuldeep, Russell, John, Trost, Lou Ann [C], Fingers, Harvie, Torres, Jaciel, Borts, Michael, Kumar, Santhosh, Bohan, Ciaran, Greene, Charles, Podlogar, Dan, Barnes, Lloyd, Human, Neal, Taylor, Darryl, Janes, Robert, Parker, Brian, Hartley, Karen, Allan, Craig, Kumar, Sudheer, Huang, Cody, Mahalingam, Karan, Jenkins, Huw, Ojha, Vishal, Palimar, Shravan, Springs, Vanessa, Reznikova, Ana, Berry, Andrew [C], Lilic, Rusmin, Bennett, Sean, Bunten, Paul, Mauelshagen, Martin</t>
  </si>
  <si>
    <t>PRJ Upgrade AQM-WFM - Review schedule with Alvaria</t>
  </si>
  <si>
    <t>Robert Hickey, James Moore, Scott Korte, Jon Harris, Reta, Felix [C]</t>
  </si>
  <si>
    <t>Reta, Felix [C], Mishra, Nirmal, Bock, April [C], Russell Hemmelgarn, Srinivasan, Goutham, Hudson, Robert, felix.reta@gmail.com, Kumar, Pankaj</t>
  </si>
  <si>
    <t>JetBlue Schedule Review</t>
  </si>
  <si>
    <t>Giles, Timothy, Reta, Felix [C]</t>
  </si>
  <si>
    <t>CCI WEM upgrade (internal)</t>
  </si>
  <si>
    <t>Zuckerman, Dan, Schepis, Roman, Cornell, Andrew, Cox, Courtney, Nadgir, Sachin, Reta, Felix [C]</t>
  </si>
  <si>
    <t>25-Apr</t>
  </si>
  <si>
    <t>26-Apr</t>
  </si>
  <si>
    <t>27-Apr</t>
  </si>
  <si>
    <t>29-Apr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</si>
</sst>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B0F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3">
    <xf numFmtId="0" fontId="0" fillId="0" borderId="0" xfId="0"/>
    <xf numFmtId="22" fontId="0" fillId="0" borderId="0" xfId="0" applyNumberFormat="1"/>
    <xf numFmtId="0" fontId="0" fillId="0" borderId="0" xfId="0" applyAlignment="1">
      <alignment wrapText="1"/>
    </xf>
    <xf numFmtId="14" fontId="0" fillId="2" borderId="0" xfId="0" applyNumberFormat="1" applyFill="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18" fontId="0" fillId="0" borderId="0" xfId="0" applyNumberFormat="1"/>
    <xf numFmtId="2" fontId="0" fillId="0" borderId="0" xfId="0" applyNumberFormat="1"/>
    <xf numFmtId="0" fontId="1" fillId="2" borderId="0" xfId="0" applyFont="1" applyFill="1"/>
    <xf numFmtId="22" fontId="1" fillId="2" borderId="0" xfId="0" applyNumberFormat="1" applyFont="1" applyFill="1"/>
    <xf numFmtId="0" fontId="1" fillId="2" borderId="0" xfId="0" applyFont="1" applyFill="1" applyAlignment="1">
      <alignment wrapText="1"/>
    </xf>
  </cellXfs>
  <cellStyles count="1">
    <cellStyle name="Normal" xfId="0" builtinId="0"/>
  </cellStyles>
  <dxfs count="14">
    <dxf>
      <numFmt numFmtId="0" formatCode="General"/>
    </dxf>
    <dxf>
      <numFmt numFmtId="2" formatCode="0.00"/>
    </dxf>
    <dxf>
      <numFmt numFmtId="23" formatCode="h:mm\ AM/PM"/>
    </dxf>
    <dxf>
      <numFmt numFmtId="23" formatCode="h:mm\ AM/PM"/>
    </dxf>
    <dxf>
      <numFmt numFmtId="19" formatCode="m/d/yyyy"/>
    </dxf>
    <dxf>
      <numFmt numFmtId="19" formatCode="m/d/yyyy"/>
    </dxf>
    <dxf>
      <numFmt numFmtId="2" formatCode="0.00"/>
    </dxf>
    <dxf>
      <numFmt numFmtId="23" formatCode="h:mm\ AM/PM"/>
    </dxf>
    <dxf>
      <numFmt numFmtId="23" formatCode="h:mm\ AM/PM"/>
    </dxf>
    <dxf>
      <numFmt numFmtId="19" formatCode="m/d/yyyy"/>
    </dxf>
    <dxf>
      <numFmt numFmtId="19" formatCode="m/d/yyyy"/>
    </dxf>
    <dxf>
      <alignment horizontal="general" vertical="bottom" textRotation="0" wrapText="1" indent="0" justifyLastLine="0" shrinkToFit="0" readingOrder="0"/>
    </dxf>
    <dxf>
      <numFmt numFmtId="27" formatCode="m/d/yyyy\ h:mm"/>
    </dxf>
    <dxf>
      <font>
        <strike val="0"/>
        <outline val="0"/>
        <shadow val="0"/>
        <u val="none"/>
        <vertAlign val="baseline"/>
        <sz val="11"/>
        <color rgb="FF00B0F0"/>
        <name val="Calibri"/>
        <family val="2"/>
        <scheme val="minor"/>
      </font>
      <fill>
        <patternFill patternType="solid">
          <fgColor indexed="64"/>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felix_reta_aspect_com/Documents/Documents/Projects/505742%20Consumer%20Cellular%20Via%20WFM%20Lab/505742%20Consumer%20Cellular%20-%20Alvaria%20Cloud%20Workforce%20Lab%20WBS%2035419LT211020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Form"/>
      <sheetName val="Northern Europe Template"/>
      <sheetName val="Finance WBS"/>
      <sheetName val="New"/>
      <sheetName val="Mainland Europe Template"/>
      <sheetName val="WBS Template"/>
      <sheetName val="Rate Sheet"/>
      <sheetName val="Version Log"/>
      <sheetName val="References"/>
      <sheetName val="Deleted Items"/>
    </sheetNames>
    <sheetDataSet>
      <sheetData sheetId="0" refreshError="1"/>
      <sheetData sheetId="1">
        <row r="3">
          <cell r="G3" t="str">
            <v>US &amp; Canada</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680.63279236111" createdVersion="7" refreshedVersion="7" minRefreshableVersion="3" recordCount="177" xr:uid="{62E99083-FE5C-4CF9-B4DF-79958DE15E9C}">
  <cacheSource type="worksheet">
    <worksheetSource name="Table3"/>
  </cacheSource>
  <cacheFields count="10">
    <cacheField name="Project" numFmtId="0">
      <sharedItems containsBlank="1" count="18">
        <s v="Other"/>
        <s v="505845"/>
        <s v="505898"/>
        <s v="505017"/>
        <s v="505909"/>
        <s v="505453"/>
        <s v="505921"/>
        <s v="505926"/>
        <s v="505563"/>
        <s v="505936"/>
        <s v="505971"/>
        <s v="505955"/>
        <s v="505978"/>
        <s v="505983"/>
        <s v="505967"/>
        <s v="505742"/>
        <m u="1"/>
        <s v="504133" u="1"/>
      </sharedItems>
    </cacheField>
    <cacheField name="Category" numFmtId="0">
      <sharedItems containsBlank="1"/>
    </cacheField>
    <cacheField name="Subject" numFmtId="0">
      <sharedItems/>
    </cacheField>
    <cacheField name="Starting Date" numFmtId="14">
      <sharedItems containsSemiMixedTypes="0" containsNonDate="0" containsDate="1" containsString="0" minDate="2022-02-11T00:00:00" maxDate="2022-05-06T00:00:00" count="47">
        <d v="2022-03-01T00:00:00"/>
        <d v="2022-04-27T00:00:00"/>
        <d v="2022-02-28T00:00:00"/>
        <d v="2022-03-16T00:00:00"/>
        <d v="2022-02-24T00:00:00"/>
        <d v="2022-04-29T00:00:00"/>
        <d v="2022-03-11T00:00:00"/>
        <d v="2022-03-18T00:00:00"/>
        <d v="2022-03-25T00:00:00"/>
        <d v="2022-04-01T00:00:00"/>
        <d v="2022-04-08T00:00:00"/>
        <d v="2022-04-15T00:00:00"/>
        <d v="2022-04-22T00:00:00"/>
        <d v="2022-04-25T00:00:00"/>
        <d v="2022-02-25T00:00:00"/>
        <d v="2022-03-09T00:00:00"/>
        <d v="2022-03-03T00:00:00"/>
        <d v="2022-03-15T00:00:00"/>
        <d v="2022-03-14T00:00:00"/>
        <d v="2022-05-05T00:00:00"/>
        <d v="2022-03-17T00:00:00"/>
        <d v="2022-03-21T00:00:00"/>
        <d v="2022-03-22T00:00:00"/>
        <d v="2022-03-23T00:00:00"/>
        <d v="2022-03-24T00:00:00"/>
        <d v="2022-03-28T00:00:00"/>
        <d v="2022-03-29T00:00:00"/>
        <d v="2022-03-30T00:00:00"/>
        <d v="2022-04-04T00:00:00"/>
        <d v="2022-04-05T00:00:00"/>
        <d v="2022-04-06T00:00:00"/>
        <d v="2022-04-07T00:00:00"/>
        <d v="2022-04-11T00:00:00"/>
        <d v="2022-03-31T00:00:00"/>
        <d v="2022-04-12T00:00:00"/>
        <d v="2022-04-13T00:00:00"/>
        <d v="2022-04-14T00:00:00"/>
        <d v="2022-04-18T00:00:00"/>
        <d v="2022-04-19T00:00:00"/>
        <d v="2022-04-20T00:00:00"/>
        <d v="2022-04-21T00:00:00"/>
        <d v="2022-04-26T00:00:00"/>
        <d v="2022-04-28T00:00:00"/>
        <d v="2022-02-11T00:00:00"/>
        <d v="2022-02-18T00:00:00"/>
        <d v="2022-03-04T00:00:00"/>
        <d v="2022-05-02T00:00:00"/>
      </sharedItems>
    </cacheField>
    <cacheField name="Ending Date" numFmtId="14">
      <sharedItems containsSemiMixedTypes="0" containsNonDate="0" containsDate="1" containsString="0" minDate="2022-02-14T00:00:00" maxDate="4501-01-02T00:00:00"/>
    </cacheField>
    <cacheField name="Start Time" numFmtId="18">
      <sharedItems containsSemiMixedTypes="0" containsNonDate="0" containsDate="1" containsString="0" minDate="1899-12-30T00:00:00" maxDate="1899-12-31T00:00:00"/>
    </cacheField>
    <cacheField name="End Time" numFmtId="18">
      <sharedItems containsSemiMixedTypes="0" containsNonDate="0" containsDate="1" containsString="0" minDate="1899-12-30T00:00:00" maxDate="1899-12-31T00:00:00"/>
    </cacheField>
    <cacheField name="Hours" numFmtId="2">
      <sharedItems containsSemiMixedTypes="0" containsString="0" containsNumber="1" containsInteger="1" minValue="-312" maxValue="21728544"/>
    </cacheField>
    <cacheField name="Attendees" numFmtId="0">
      <sharedItems/>
    </cacheField>
    <cacheField nam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680.633489814812" createdVersion="7" refreshedVersion="7" minRefreshableVersion="3" recordCount="109" xr:uid="{A879AD81-DBD0-48E0-9F91-7AB1AF4635DD}">
  <cacheSource type="worksheet">
    <worksheetSource name="Table1"/>
  </cacheSource>
  <cacheFields count="9">
    <cacheField name="Project" numFmtId="0">
      <sharedItems containsBlank="1" count="12">
        <s v="Other"/>
        <s v="505845"/>
        <s v="505936"/>
        <s v="505967"/>
        <s v="505971"/>
        <s v="505563"/>
        <m/>
        <s v="505955" u="1"/>
        <s v="505978" u="1"/>
        <s v="505898" u="1"/>
        <s v="505926" u="1"/>
        <s v="505742" u="1"/>
      </sharedItems>
    </cacheField>
    <cacheField name="Category" numFmtId="0">
      <sharedItems containsBlank="1"/>
    </cacheField>
    <cacheField name="Subject" numFmtId="0">
      <sharedItems containsBlank="1"/>
    </cacheField>
    <cacheField name="Starting Date" numFmtId="14">
      <sharedItems containsNonDate="0" containsDate="1" containsString="0" containsBlank="1" minDate="2022-04-15T00:00:00" maxDate="2022-04-30T00:00:00" count="13">
        <d v="2022-04-27T00:00:00"/>
        <d v="2022-04-22T00:00:00"/>
        <d v="2022-04-25T00:00:00"/>
        <d v="2022-04-26T00:00:00"/>
        <d v="2022-04-28T00:00:00"/>
        <d v="2022-04-29T00:00:00"/>
        <m/>
        <d v="2022-04-17T00:00:00" u="1"/>
        <d v="2022-04-18T00:00:00" u="1"/>
        <d v="2022-04-19T00:00:00" u="1"/>
        <d v="2022-04-15T00:00:00" u="1"/>
        <d v="2022-04-20T00:00:00" u="1"/>
        <d v="2022-04-21T00:00:00" u="1"/>
      </sharedItems>
    </cacheField>
    <cacheField name="Ending Date" numFmtId="14">
      <sharedItems containsNonDate="0" containsDate="1" containsString="0" containsBlank="1" minDate="2022-04-22T00:00:00" maxDate="2022-04-30T00:00:00"/>
    </cacheField>
    <cacheField name="Start Time" numFmtId="18">
      <sharedItems containsNonDate="0" containsDate="1" containsString="0" containsBlank="1" minDate="1899-12-30T00:00:00" maxDate="1899-12-31T00:00:00"/>
    </cacheField>
    <cacheField name="End Time" numFmtId="18">
      <sharedItems containsNonDate="0" containsDate="1" containsString="0" containsBlank="1" minDate="1899-12-30T00:00:00" maxDate="1899-12-31T00:00:00"/>
    </cacheField>
    <cacheField name="Hours" numFmtId="2">
      <sharedItems containsString="0" containsBlank="1" containsNumber="1" minValue="0.41666666666666669" maxValue="24"/>
    </cacheField>
    <cacheField name="Attendee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lix Reta" refreshedDate="44680.63368402778" createdVersion="7" refreshedVersion="7" minRefreshableVersion="3" recordCount="429" xr:uid="{DF86612E-768F-4896-991E-9BC98462B040}">
  <cacheSource type="worksheet">
    <worksheetSource name="Table2"/>
  </cacheSource>
  <cacheFields count="8">
    <cacheField name="Folder" numFmtId="0">
      <sharedItems containsBlank="1"/>
    </cacheField>
    <cacheField name="Subject" numFmtId="0">
      <sharedItems containsBlank="1"/>
    </cacheField>
    <cacheField name="Date" numFmtId="22">
      <sharedItems containsNonDate="0" containsDate="1" containsString="0" containsBlank="1" minDate="2022-04-22T09:09:00" maxDate="2022-04-29T15:05:11" count="146">
        <d v="2022-04-26T10:32:11"/>
        <d v="2022-04-26T11:19:44"/>
        <d v="2022-04-27T10:10:00"/>
        <d v="2022-04-27T11:01:38"/>
        <d v="2022-04-27T13:54:16"/>
        <d v="2022-04-22T09:09:00"/>
        <d v="2022-04-25T23:21:35"/>
        <d v="2022-04-25T11:33:33"/>
        <d v="2022-04-25T11:39:30"/>
        <d v="2022-04-27T10:26:14"/>
        <d v="2022-04-27T10:29:00"/>
        <d v="2022-04-27T14:13:57"/>
        <d v="2022-04-27T15:42:53"/>
        <d v="2022-04-27T16:01:53"/>
        <d v="2022-04-27T17:06:16"/>
        <d v="2022-04-28T14:04:39"/>
        <d v="2022-04-28T14:16:53"/>
        <d v="2022-04-25T11:14:02"/>
        <d v="2022-04-25T11:28:56"/>
        <d v="2022-04-26T13:08:09"/>
        <d v="2022-04-29T13:46:20"/>
        <d v="2022-04-29T13:56:06"/>
        <d v="2022-04-29T13:59:13"/>
        <d v="2022-04-29T14:02:31"/>
        <d v="2022-04-27T14:07:59"/>
        <d v="2022-04-28T10:38:05"/>
        <d v="2022-04-25T12:00:17"/>
        <d v="2022-04-25T12:44:25"/>
        <d v="2022-04-25T12:45:36"/>
        <d v="2022-04-25T13:25:01"/>
        <d v="2022-04-25T16:39:28"/>
        <d v="2022-04-25T17:47:22"/>
        <d v="2022-04-26T01:18:06"/>
        <d v="2022-04-26T02:20:24"/>
        <d v="2022-04-26T06:31:14"/>
        <d v="2022-04-26T07:23:54"/>
        <d v="2022-04-26T09:09:29"/>
        <d v="2022-04-26T09:24:00"/>
        <d v="2022-04-26T16:57:44"/>
        <d v="2022-04-27T03:20:40"/>
        <d v="2022-04-27T23:11:15"/>
        <d v="2022-04-27T12:22:01"/>
        <d v="2022-04-27T12:30:08"/>
        <d v="2022-04-27T16:15:08"/>
        <d v="2022-04-22T12:14:57"/>
        <d v="2022-04-22T15:28:08"/>
        <d v="2022-04-22T15:47:58"/>
        <d v="2022-04-22T16:05:03"/>
        <d v="2022-04-25T08:46:27"/>
        <d v="2022-04-25T08:46:35"/>
        <d v="2022-04-25T10:15:13"/>
        <d v="2022-04-27T09:19:46"/>
        <d v="2022-04-27T15:00:32"/>
        <d v="2022-04-29T14:16:56"/>
        <d v="2022-04-29T14:17:28"/>
        <d v="2022-04-29T14:17:52"/>
        <d v="2022-04-25T13:47:37"/>
        <d v="2022-04-25T14:30:02"/>
        <d v="2022-04-25T14:30:04"/>
        <d v="2022-04-25T14:35:19"/>
        <d v="2022-04-25T14:42:13"/>
        <d v="2022-04-25T14:50:59"/>
        <d v="2022-04-25T15:00:41"/>
        <d v="2022-04-25T15:03:25"/>
        <d v="2022-04-25T16:07:56"/>
        <d v="2022-04-25T16:09:34"/>
        <d v="2022-04-25T16:13:28"/>
        <d v="2022-04-25T16:35:36"/>
        <d v="2022-04-25T23:03:09"/>
        <d v="2022-04-26T08:22:17"/>
        <d v="2022-04-26T09:32:21"/>
        <d v="2022-04-26T09:38:52"/>
        <d v="2022-04-26T09:57:35"/>
        <d v="2022-04-26T10:59:36"/>
        <d v="2022-04-26T11:02:21"/>
        <d v="2022-04-26T11:18:52"/>
        <d v="2022-04-26T11:19:38"/>
        <d v="2022-04-26T12:22:07"/>
        <d v="2022-04-26T12:25:17"/>
        <d v="2022-04-26T13:09:43"/>
        <d v="2022-04-26T13:13:14"/>
        <d v="2022-04-26T14:45:28"/>
        <d v="2022-04-26T15:16:59"/>
        <d v="2022-04-26T15:19:09"/>
        <d v="2022-04-26T15:35:59"/>
        <d v="2022-04-26T16:26:37"/>
        <d v="2022-04-27T06:30:48"/>
        <d v="2022-04-27T06:01:09"/>
        <d v="2022-04-27T05:03:13"/>
        <d v="2022-04-27T03:07:15"/>
        <d v="2022-04-26T18:54:47"/>
        <d v="2022-04-26T18:22:43"/>
        <d v="2022-04-26T17:16:27"/>
        <d v="2022-04-27T08:29:08"/>
        <d v="2022-04-27T08:42:15"/>
        <d v="2022-04-27T09:40:12"/>
        <d v="2022-04-27T09:47:26"/>
        <d v="2022-04-27T10:00:22"/>
        <d v="2022-04-27T10:14:02"/>
        <d v="2022-04-27T11:22:56"/>
        <d v="2022-04-27T11:40:36"/>
        <d v="2022-04-27T11:53:12"/>
        <d v="2022-04-27T11:54:58"/>
        <d v="2022-04-27T11:55:31"/>
        <d v="2022-04-27T11:59:33"/>
        <d v="2022-04-27T12:26:35"/>
        <d v="2022-04-27T15:22:33"/>
        <d v="2022-04-27T15:32:14"/>
        <d v="2022-04-27T15:34:11"/>
        <d v="2022-04-27T16:27:25"/>
        <d v="2022-04-27T16:39:09"/>
        <d v="2022-04-27T16:53:54"/>
        <d v="2022-04-28T00:29:46"/>
        <d v="2022-04-28T08:55:38"/>
        <d v="2022-04-28T08:56:49"/>
        <d v="2022-04-28T08:59:20"/>
        <d v="2022-04-28T09:10:41"/>
        <d v="2022-04-28T09:40:49"/>
        <d v="2022-04-28T09:42:06"/>
        <d v="2022-04-28T10:19:31"/>
        <d v="2022-04-28T10:19:58"/>
        <d v="2022-04-28T10:35:03"/>
        <d v="2022-04-28T10:39:41"/>
        <d v="2022-04-28T11:03:29"/>
        <d v="2022-04-28T12:00:25"/>
        <d v="2022-04-28T14:07:05"/>
        <d v="2022-04-28T14:06:41"/>
        <d v="2022-04-28T14:06:34"/>
        <d v="2022-04-28T14:05:03"/>
        <d v="2022-04-28T13:57:53"/>
        <d v="2022-04-28T14:15:18"/>
        <d v="2022-04-28T14:49:54"/>
        <d v="2022-04-28T15:00:05"/>
        <d v="2022-04-28T16:22:39"/>
        <d v="2022-04-28T16:42:15"/>
        <d v="2022-04-28T16:49:20"/>
        <d v="2022-04-28T23:12:31"/>
        <d v="2022-04-29T00:20:20"/>
        <d v="2022-04-29T05:08:22"/>
        <d v="2022-04-29T09:54:27"/>
        <d v="2022-04-29T10:11:57"/>
        <d v="2022-04-29T13:47:20"/>
        <d v="2022-04-29T14:18:05"/>
        <d v="2022-04-29T14:30:14"/>
        <d v="2022-04-29T15:05:11"/>
        <m/>
      </sharedItems>
      <fieldGroup par="7" base="2">
        <rangePr groupBy="days" startDate="2022-04-22T09:09:00" endDate="2022-04-29T15:05:11"/>
        <groupItems count="368">
          <s v="(blank)"/>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4/29/2022"/>
        </groupItems>
      </fieldGroup>
    </cacheField>
    <cacheField name="Sender" numFmtId="0">
      <sharedItems containsBlank="1"/>
    </cacheField>
    <cacheField name="Body" numFmtId="0">
      <sharedItems containsBlank="1"/>
    </cacheField>
    <cacheField name="Project" numFmtId="0">
      <sharedItems count="19">
        <s v="505909"/>
        <s v="505921"/>
        <s v="505845"/>
        <s v="505936"/>
        <s v="505971"/>
        <s v="505967"/>
        <s v="505978"/>
        <s v="505742"/>
        <s v="505983"/>
        <s v="505955"/>
        <s v=""/>
        <s v="505898" u="1"/>
        <s v="504133" u="1"/>
        <s v="505563" u="1"/>
        <s v="Other" u="1"/>
        <s v="505453" u="1"/>
        <s v="505530" u="1"/>
        <s v="505926" u="1"/>
        <s v="505017" u="1"/>
      </sharedItems>
    </cacheField>
    <cacheField name="Source" numFmtId="0">
      <sharedItems containsBlank="1"/>
    </cacheField>
    <cacheField name="Months" numFmtId="0" databaseField="0">
      <fieldGroup base="2">
        <rangePr groupBy="months" startDate="2022-04-22T09:09:00" endDate="2022-04-29T15:05:11"/>
        <groupItems count="14">
          <s v="&lt;4/22/2022"/>
          <s v="Jan"/>
          <s v="Feb"/>
          <s v="Mar"/>
          <s v="Apr"/>
          <s v="May"/>
          <s v="Jun"/>
          <s v="Jul"/>
          <s v="Aug"/>
          <s v="Sep"/>
          <s v="Oct"/>
          <s v="Nov"/>
          <s v="Dec"/>
          <s v="&gt;4/29/2022"/>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7">
  <r>
    <x v="0"/>
    <s v="Clients"/>
    <s v="Waterfield timesheet items"/>
    <x v="0"/>
    <d v="2022-03-04T00:00:00"/>
    <d v="1899-12-30T00:00:00"/>
    <d v="1899-12-30T00:00:00"/>
    <n v="72"/>
    <s v="Reta, Felix [C]"/>
    <m/>
  </r>
  <r>
    <x v="0"/>
    <s v="Green Category"/>
    <s v="Change Passwords"/>
    <x v="1"/>
    <d v="4501-01-01T00:00:00"/>
    <d v="1899-12-30T00:00:00"/>
    <d v="1899-12-30T00:00:00"/>
    <n v="21727680"/>
    <s v="Reta, Felix [C]"/>
    <m/>
  </r>
  <r>
    <x v="0"/>
    <s v="Internet"/>
    <s v="☮ ⛵ Testing 1 2 3 action: Deleted"/>
    <x v="2"/>
    <d v="2022-02-28T00:00:00"/>
    <d v="1899-12-30T00:00:00"/>
    <d v="1899-12-30T00:00:00"/>
    <n v="0"/>
    <s v="Reta, Felix [C]"/>
    <m/>
  </r>
  <r>
    <x v="0"/>
    <s v="Internet"/>
    <s v="Xpress"/>
    <x v="3"/>
    <d v="2022-03-17T00:00:00"/>
    <d v="1899-12-30T00:00:00"/>
    <d v="1899-12-30T00:00:00"/>
    <n v="24"/>
    <s v="Reta, Felix [C]"/>
    <m/>
  </r>
  <r>
    <x v="0"/>
    <s v="Manager"/>
    <s v="Onboarding Document Checklist"/>
    <x v="4"/>
    <d v="2022-02-24T00:00:00"/>
    <d v="1899-12-30T00:00:00"/>
    <d v="1899-12-30T00:00:00"/>
    <n v="0"/>
    <s v="Reta, Felix [C]"/>
    <m/>
  </r>
  <r>
    <x v="0"/>
    <s v="Manager"/>
    <s v="Review Alvaria SDLC &amp; RACI"/>
    <x v="4"/>
    <d v="2022-04-19T00:00:00"/>
    <d v="1899-12-30T00:00:00"/>
    <d v="1899-12-30T00:00:00"/>
    <n v="1296"/>
    <s v="Reta, Felix [C]"/>
    <m/>
  </r>
  <r>
    <x v="0"/>
    <s v="Manager"/>
    <s v="Timesheets"/>
    <x v="5"/>
    <d v="4501-01-01T00:00:00"/>
    <d v="1899-12-30T00:00:00"/>
    <d v="1899-12-30T00:00:00"/>
    <n v="21727632"/>
    <s v="Reta, Felix [C]"/>
    <m/>
  </r>
  <r>
    <x v="0"/>
    <s v="Manager"/>
    <s v="Timesheets"/>
    <x v="6"/>
    <d v="2022-03-11T00:00:00"/>
    <d v="1899-12-30T00:00:00"/>
    <d v="1899-12-30T00:00:00"/>
    <n v="0"/>
    <s v="Reta, Felix [C]"/>
    <m/>
  </r>
  <r>
    <x v="0"/>
    <s v="Manager"/>
    <s v="Timesheets"/>
    <x v="7"/>
    <d v="2022-03-21T00:00:00"/>
    <d v="1899-12-30T00:00:00"/>
    <d v="1899-12-30T00:00:00"/>
    <n v="72"/>
    <s v="Reta, Felix [C]"/>
    <m/>
  </r>
  <r>
    <x v="0"/>
    <s v="Manager"/>
    <s v="Timesheets"/>
    <x v="8"/>
    <d v="2022-03-28T00:00:00"/>
    <d v="1899-12-30T00:00:00"/>
    <d v="1899-12-30T00:00:00"/>
    <n v="72"/>
    <s v="Reta, Felix [C]"/>
    <m/>
  </r>
  <r>
    <x v="0"/>
    <s v="Manager"/>
    <s v="Timesheets"/>
    <x v="9"/>
    <d v="2022-04-04T00:00:00"/>
    <d v="1899-12-30T00:00:00"/>
    <d v="1899-12-30T00:00:00"/>
    <n v="72"/>
    <s v="Reta, Felix [C]"/>
    <m/>
  </r>
  <r>
    <x v="0"/>
    <s v="Manager"/>
    <s v="Timesheets"/>
    <x v="10"/>
    <d v="2022-04-11T00:00:00"/>
    <d v="1899-12-30T00:00:00"/>
    <d v="1899-12-30T00:00:00"/>
    <n v="72"/>
    <s v="Reta, Felix [C]"/>
    <m/>
  </r>
  <r>
    <x v="0"/>
    <s v="Manager"/>
    <s v="Timesheets"/>
    <x v="11"/>
    <d v="2022-04-19T00:00:00"/>
    <d v="1899-12-30T00:00:00"/>
    <d v="1899-12-30T00:00:00"/>
    <n v="96"/>
    <s v="Reta, Felix [C]"/>
    <m/>
  </r>
  <r>
    <x v="0"/>
    <s v="Manager"/>
    <s v="Timesheets"/>
    <x v="12"/>
    <d v="2022-04-25T00:00:00"/>
    <d v="1899-12-30T00:00:00"/>
    <d v="1899-12-30T00:00:00"/>
    <n v="72"/>
    <s v="Reta, Felix [C]"/>
    <m/>
  </r>
  <r>
    <x v="1"/>
    <s v="Manager, Projects"/>
    <s v="CR002 Dev reset for [505845 -Credit Acceptance Corp. - WFM/APM and AQM Upgrade to V21"/>
    <x v="12"/>
    <d v="2022-04-29T00:00:00"/>
    <d v="1899-12-30T00:00:00"/>
    <d v="1899-12-30T00:00:00"/>
    <n v="168"/>
    <s v="Reta, Felix [C]"/>
    <m/>
  </r>
  <r>
    <x v="0"/>
    <s v="Manager, Projects"/>
    <s v="☮ ⛵ RE: TD Bank Cert's - USAN resources ✈🕑"/>
    <x v="13"/>
    <d v="2022-04-25T00:00:00"/>
    <d v="1899-12-30T00:00:00"/>
    <d v="1899-12-30T00:00:00"/>
    <n v="0"/>
    <s v="Reta, Felix [C]"/>
    <m/>
  </r>
  <r>
    <x v="2"/>
    <s v="Projects"/>
    <s v="505898 UNIFIED IP™ SCREEN POP APPLICATION FOR SAGENT SOW"/>
    <x v="14"/>
    <d v="2022-03-02T00:00:00"/>
    <d v="1899-12-30T00:00:00"/>
    <d v="1899-12-30T00:00:00"/>
    <n v="120"/>
    <s v="Reta, Felix [C]"/>
    <m/>
  </r>
  <r>
    <x v="2"/>
    <s v="Projects"/>
    <s v="R.A.: Reta, Felix #390201 PA#: 505898, 50801 Computershare Inc, REQ_Aspect Developer"/>
    <x v="14"/>
    <d v="2022-03-01T00:00:00"/>
    <d v="1899-12-30T00:00:00"/>
    <d v="1899-12-30T00:00:00"/>
    <n v="96"/>
    <s v="Reta, Felix [C]"/>
    <m/>
  </r>
  <r>
    <x v="3"/>
    <s v="Projects"/>
    <s v="Camis 505017 - WFM project - Optimization workshop"/>
    <x v="15"/>
    <d v="2022-03-15T00:00:00"/>
    <d v="1899-12-30T00:00:00"/>
    <d v="1899-12-30T00:00:00"/>
    <n v="144"/>
    <s v="Reta, Felix [C]"/>
    <m/>
  </r>
  <r>
    <x v="4"/>
    <s v="Projects"/>
    <s v="FW: R.A.: Reta, Felix #390767 PA#: 505909, 6970 M&amp;T Bank, REQ_Solutions Architect"/>
    <x v="16"/>
    <d v="2022-03-07T00:00:00"/>
    <d v="1899-12-30T00:00:00"/>
    <d v="1899-12-30T00:00:00"/>
    <n v="96"/>
    <s v="Reta, Felix [C]"/>
    <m/>
  </r>
  <r>
    <x v="4"/>
    <s v="Projects"/>
    <s v="3.4 Emailed Linda Hottum cust. PM 505909 M&amp;T Bank certs"/>
    <x v="15"/>
    <d v="2022-03-16T00:00:00"/>
    <d v="1899-12-30T00:00:00"/>
    <d v="1899-12-30T00:00:00"/>
    <n v="168"/>
    <s v="Reta, Felix [C]"/>
    <m/>
  </r>
  <r>
    <x v="5"/>
    <s v="Projects"/>
    <s v="Final task, 5 days GC for United Biosource LLC : 505453 United BioSource Corp.-WFM Hosted Upgrade 8.3 to 21"/>
    <x v="6"/>
    <d v="2022-03-11T00:00:00"/>
    <d v="1899-12-30T00:00:00"/>
    <d v="1899-12-30T00:00:00"/>
    <n v="0"/>
    <s v="Reta, Felix [C]"/>
    <m/>
  </r>
  <r>
    <x v="5"/>
    <s v="Projects"/>
    <s v="[EXTERNAL]Final task, 5 days GC for United Biosource LLC : 505453 United BioSource Corp.-WFM Hosted Upgrade 8.3 to 21"/>
    <x v="6"/>
    <d v="2022-03-22T00:00:00"/>
    <d v="1899-12-30T00:00:00"/>
    <d v="1899-12-30T00:00:00"/>
    <n v="264"/>
    <s v="Reta, Felix [C]"/>
    <m/>
  </r>
  <r>
    <x v="6"/>
    <s v="Projects"/>
    <s v="Ping April for  Project 505921 PNC Bank"/>
    <x v="17"/>
    <d v="2022-03-15T00:00:00"/>
    <d v="1899-12-30T00:00:00"/>
    <d v="1899-12-30T00:00:00"/>
    <n v="0"/>
    <s v="Reta, Felix [C]"/>
    <m/>
  </r>
  <r>
    <x v="2"/>
    <s v="Projects"/>
    <s v="RE: Kick off development for UNIFIED IP™ SCREEN POP APPLICATION FOR SAGENT [505898] Adjusted to client MT"/>
    <x v="18"/>
    <d v="2022-03-14T00:00:00"/>
    <d v="1899-12-30T00:00:00"/>
    <d v="1899-12-30T00:00:00"/>
    <n v="0"/>
    <s v="Reta, Felix [C]"/>
    <m/>
  </r>
  <r>
    <x v="0"/>
    <s v="Projects"/>
    <s v="Sales to Implementation Kickoff Ring LLC action: from Inbox"/>
    <x v="18"/>
    <d v="2022-03-14T00:00:00"/>
    <d v="1899-12-30T00:00:00"/>
    <d v="1899-12-30T00:00:00"/>
    <n v="0"/>
    <s v="Reta, Felix [C]"/>
    <m/>
  </r>
  <r>
    <x v="6"/>
    <s v="Projects"/>
    <s v="RE: PNC Technical meeting ACD Historical and RTA feeds into WFM [505921]"/>
    <x v="18"/>
    <d v="2022-03-14T00:00:00"/>
    <d v="1899-12-30T00:00:00"/>
    <d v="1899-12-30T00:00:00"/>
    <n v="0"/>
    <s v="Reta, Felix [C]"/>
    <m/>
  </r>
  <r>
    <x v="4"/>
    <s v="Projects"/>
    <s v="RE: Updating UIP Call Center server SSL Certificates, Alvaria Case 01212743 [505909]"/>
    <x v="17"/>
    <d v="2022-03-15T00:00:00"/>
    <d v="1899-12-30T00:00:00"/>
    <d v="1899-12-30T00:00:00"/>
    <n v="0"/>
    <s v="Reta, Felix [C]"/>
    <m/>
  </r>
  <r>
    <x v="0"/>
    <s v="Projects"/>
    <s v="FW: Scheduling your multichannel workshop. [504133 HGS USA - WFM 8.1 to 18.x Upgrade]"/>
    <x v="17"/>
    <d v="2022-03-24T00:00:00"/>
    <d v="1899-12-30T00:00:00"/>
    <d v="1899-12-30T00:00:00"/>
    <n v="216"/>
    <s v="Reta, Felix [C]"/>
    <m/>
  </r>
  <r>
    <x v="0"/>
    <s v="Projects"/>
    <s v="INTERNAL - ICBC Cutover Planning and Readiness action: from Inbox"/>
    <x v="17"/>
    <d v="2022-03-17T00:00:00"/>
    <d v="1899-12-30T00:00:00"/>
    <d v="1899-12-30T00:00:00"/>
    <n v="48"/>
    <s v="Reta, Felix [C]"/>
    <m/>
  </r>
  <r>
    <x v="6"/>
    <s v="Projects"/>
    <s v="RE: PNC Technical meeting ACD Historical and RTA feeds into WFM [505921]"/>
    <x v="17"/>
    <d v="2022-03-17T00:00:00"/>
    <d v="1899-12-30T00:00:00"/>
    <d v="1899-12-30T00:00:00"/>
    <n v="48"/>
    <s v="Reta, Felix [C]"/>
    <m/>
  </r>
  <r>
    <x v="4"/>
    <s v="Projects"/>
    <s v="FW: Updating UIP Call Center server SSL Certificates, Alvaria Case 01212743 [505909]"/>
    <x v="3"/>
    <d v="2022-03-16T00:00:00"/>
    <d v="1899-12-30T00:00:00"/>
    <d v="1899-12-30T00:00:00"/>
    <n v="0"/>
    <s v="Reta, Felix [C]"/>
    <m/>
  </r>
  <r>
    <x v="4"/>
    <s v="Projects"/>
    <s v="RE: Updating UIP Call Center server SSL Certificates, Alvaria Case 01212743 [505909]"/>
    <x v="3"/>
    <d v="2022-03-17T00:00:00"/>
    <d v="1899-12-30T00:00:00"/>
    <d v="1899-12-30T00:00:00"/>
    <n v="24"/>
    <s v="Reta, Felix [C]"/>
    <m/>
  </r>
  <r>
    <x v="6"/>
    <s v="Projects"/>
    <s v="RE: Alvaria / Aspect Resource &amp; Workset for PNC [505921]"/>
    <x v="3"/>
    <d v="2022-03-16T00:00:00"/>
    <d v="1899-12-30T00:00:00"/>
    <d v="1899-12-30T00:00:00"/>
    <n v="0"/>
    <s v="Reta, Felix [C]"/>
    <m/>
  </r>
  <r>
    <x v="0"/>
    <s v="Projects"/>
    <s v="Practice QTR PS Forecast review"/>
    <x v="19"/>
    <d v="4501-01-01T00:00:00"/>
    <d v="1899-12-30T00:00:00"/>
    <d v="1899-12-30T00:00:00"/>
    <n v="21727488"/>
    <s v="Reta, Felix [C]"/>
    <m/>
  </r>
  <r>
    <x v="7"/>
    <s v="Projects"/>
    <s v="RE: R.A.: Reta, Felix #391905 PA#: 505926, 6881 AFNI Inc, REQ_WFM IC"/>
    <x v="20"/>
    <d v="2022-03-21T00:00:00"/>
    <d v="1899-12-30T00:00:00"/>
    <d v="1899-12-30T00:00:00"/>
    <n v="96"/>
    <s v="Reta, Felix [C]"/>
    <m/>
  </r>
  <r>
    <x v="0"/>
    <s v="Projects"/>
    <s v="RE: PNC Bank WFM Report Customization"/>
    <x v="20"/>
    <d v="2022-03-21T00:00:00"/>
    <d v="1899-12-30T00:00:00"/>
    <d v="1899-12-30T00:00:00"/>
    <n v="96"/>
    <s v="Reta, Felix [C]"/>
    <m/>
  </r>
  <r>
    <x v="0"/>
    <s v="Projects"/>
    <s v="RE: RFC0150306 Update UIP Millsboro certificates on 3/22 at 9:30 pm ET"/>
    <x v="21"/>
    <d v="2022-03-21T00:00:00"/>
    <d v="1899-12-30T00:00:00"/>
    <d v="1899-12-30T00:00:00"/>
    <n v="0"/>
    <s v="Reta, Felix [C]"/>
    <m/>
  </r>
  <r>
    <x v="6"/>
    <s v="Projects"/>
    <s v="505921 PNC Bank - PS, ACD Historical and RTA Feeds to WFM, Technical planning meeting cont..."/>
    <x v="7"/>
    <d v="2022-04-22T00:00:00"/>
    <d v="1899-12-30T00:00:00"/>
    <d v="1899-12-30T00:00:00"/>
    <n v="840"/>
    <s v="Reta, Felix [C]"/>
    <m/>
  </r>
  <r>
    <x v="5"/>
    <s v="Projects"/>
    <s v="RE: [EXTERNAL]Final task, 5 days GC for United Biosource LLC : 505453 United BioSource Corp.-WFM Hosted Upgrade 8.3 to 21"/>
    <x v="21"/>
    <d v="2022-03-22T00:00:00"/>
    <d v="1899-12-30T00:00:00"/>
    <d v="1899-12-30T00:00:00"/>
    <n v="24"/>
    <s v="Reta, Felix [C]"/>
    <m/>
  </r>
  <r>
    <x v="5"/>
    <s v="Projects"/>
    <s v="RE: R.A.: Reta, Felix #391173 PA#: 505453, 50119 United Biosource LLC, Biggs, Tumoyia R"/>
    <x v="21"/>
    <d v="2022-03-21T00:00:00"/>
    <d v="1899-12-30T00:00:00"/>
    <d v="1899-12-30T00:00:00"/>
    <n v="0"/>
    <s v="Reta, Felix [C]"/>
    <m/>
  </r>
  <r>
    <x v="3"/>
    <s v="Projects"/>
    <s v="RE: Camis 505017 - WFM project - Optimization workshop"/>
    <x v="22"/>
    <d v="4501-01-01T00:00:00"/>
    <d v="1899-12-30T00:00:00"/>
    <d v="1899-12-30T00:00:00"/>
    <n v="21728544"/>
    <s v="Reta, Felix [C]"/>
    <m/>
  </r>
  <r>
    <x v="5"/>
    <s v="Projects"/>
    <s v="RE: [EXTERNAL]Final task, 5 days GC for United Biosource LLC : 505453 United BioSource Corp.-WFM Hosted Upgrade 8.3 to 21"/>
    <x v="22"/>
    <d v="2022-04-08T00:00:00"/>
    <d v="1899-12-30T00:00:00"/>
    <d v="1899-12-30T00:00:00"/>
    <n v="408"/>
    <s v="Reta, Felix [C]"/>
    <m/>
  </r>
  <r>
    <x v="3"/>
    <s v="Projects"/>
    <s v="505017 Camis (Credit Acceptance Corp) - WFM Upgrade 8.3- 20"/>
    <x v="22"/>
    <d v="2022-03-24T00:00:00"/>
    <d v="1899-12-30T00:00:00"/>
    <d v="1899-12-30T00:00:00"/>
    <n v="48"/>
    <s v="Reta, Felix [C]"/>
    <m/>
  </r>
  <r>
    <x v="6"/>
    <s v="Projects"/>
    <s v="FW: 505921 PNC Bank - PS, ACD Historical and RTA Feeds to WFM, Technical planning meeting cont..."/>
    <x v="22"/>
    <d v="2022-03-22T00:00:00"/>
    <d v="1899-12-30T00:00:00"/>
    <d v="1899-12-30T00:00:00"/>
    <n v="0"/>
    <s v="Reta, Felix [C]"/>
    <m/>
  </r>
  <r>
    <x v="6"/>
    <s v="Projects"/>
    <s v="RE: 505921 PNC Bank - PS, ACD Historical and RTA Feeds to WFM, Technical planning meeting cont..."/>
    <x v="22"/>
    <d v="2022-03-24T00:00:00"/>
    <d v="1899-12-30T00:00:00"/>
    <d v="1899-12-30T00:00:00"/>
    <n v="48"/>
    <s v="Reta, Felix [C]"/>
    <m/>
  </r>
  <r>
    <x v="0"/>
    <s v="Projects"/>
    <s v="RFC0150306 Update UIP Millsboro certificates on 3/22 at 9:30 pm ET"/>
    <x v="23"/>
    <d v="2022-03-29T00:00:00"/>
    <d v="1899-12-30T00:00:00"/>
    <d v="1899-12-30T00:00:00"/>
    <n v="144"/>
    <s v="Reta, Felix [C]"/>
    <m/>
  </r>
  <r>
    <x v="6"/>
    <s v="Projects"/>
    <s v="RE: 505921 PNC Bank - PS, ACD Historical and RTA Feeds to WFM, Technical planning meeting cont..."/>
    <x v="24"/>
    <d v="2022-03-24T00:00:00"/>
    <d v="1899-12-30T00:00:00"/>
    <d v="1899-12-30T00:00:00"/>
    <n v="0"/>
    <s v="Reta, Felix [C]"/>
    <m/>
  </r>
  <r>
    <x v="0"/>
    <s v="Projects"/>
    <s v="Please provide with email chain with PNC Joseph Lewandowski. Case 01253102"/>
    <x v="24"/>
    <d v="2022-03-24T00:00:00"/>
    <d v="1899-12-30T00:00:00"/>
    <d v="1899-12-30T00:00:00"/>
    <n v="0"/>
    <s v="Reta, Felix [C]"/>
    <m/>
  </r>
  <r>
    <x v="0"/>
    <s v="Projects"/>
    <s v="ACD feed ticket 01253102."/>
    <x v="24"/>
    <d v="2022-03-24T00:00:00"/>
    <d v="1899-12-30T00:00:00"/>
    <d v="1899-12-30T00:00:00"/>
    <n v="0"/>
    <s v="Reta, Felix [C]"/>
    <m/>
  </r>
  <r>
    <x v="0"/>
    <s v="Projects"/>
    <s v="Practice QTR PS Forecast review"/>
    <x v="20"/>
    <d v="2022-03-28T00:00:00"/>
    <d v="1899-12-30T00:00:00"/>
    <d v="1899-12-30T00:00:00"/>
    <n v="264"/>
    <s v="Reta, Felix [C]"/>
    <m/>
  </r>
  <r>
    <x v="0"/>
    <s v="Projects"/>
    <s v="RE: PNC; Cloud adapter project touchpoint"/>
    <x v="25"/>
    <d v="2022-04-11T00:00:00"/>
    <d v="1899-12-30T00:00:00"/>
    <d v="1899-12-30T00:00:00"/>
    <n v="336"/>
    <s v="Reta, Felix [C]"/>
    <m/>
  </r>
  <r>
    <x v="7"/>
    <s v="Projects"/>
    <s v="RE: 505926 AFNI Workforce expansion, Internal S2I meeting"/>
    <x v="26"/>
    <d v="2022-03-29T00:00:00"/>
    <d v="1899-12-30T00:00:00"/>
    <d v="1899-12-30T00:00:00"/>
    <n v="0"/>
    <s v="Reta, Felix [C]"/>
    <m/>
  </r>
  <r>
    <x v="8"/>
    <s v="Projects"/>
    <s v="Please assign me to transitioned projects from Deb 505845 CAC, 505563 JetBlue"/>
    <x v="26"/>
    <d v="2022-03-29T00:00:00"/>
    <d v="1899-12-30T00:00:00"/>
    <d v="1899-12-30T00:00:00"/>
    <n v="0"/>
    <s v="Reta, Felix [C]"/>
    <m/>
  </r>
  <r>
    <x v="8"/>
    <s v="Projects"/>
    <s v="RE: Please assign me to transitioned projects from Deb 505845 CAC, 505563 JetBlue"/>
    <x v="26"/>
    <d v="2022-03-29T00:00:00"/>
    <d v="1899-12-30T00:00:00"/>
    <d v="1899-12-30T00:00:00"/>
    <n v="0"/>
    <s v="Reta, Felix [C]"/>
    <m/>
  </r>
  <r>
    <x v="0"/>
    <s v="Projects"/>
    <s v="RE: Template to Use Below - FW: Closing Project Process Question"/>
    <x v="26"/>
    <d v="2022-04-11T00:00:00"/>
    <d v="1899-12-30T00:00:00"/>
    <d v="1899-12-30T00:00:00"/>
    <n v="312"/>
    <s v="Reta, Felix [C]"/>
    <m/>
  </r>
  <r>
    <x v="7"/>
    <s v="Projects"/>
    <s v="Project 505926 AFNI Workforce expansion ACD &amp; RTA feeds to Cisco UCCE."/>
    <x v="26"/>
    <d v="2022-04-01T00:00:00"/>
    <d v="1899-12-30T00:00:00"/>
    <d v="1899-12-30T00:00:00"/>
    <n v="72"/>
    <s v="Reta, Felix [C]"/>
    <m/>
  </r>
  <r>
    <x v="0"/>
    <s v="Projects"/>
    <s v="Closing project, cont..."/>
    <x v="26"/>
    <d v="2022-03-29T00:00:00"/>
    <d v="1899-12-30T00:00:00"/>
    <d v="1899-12-30T00:00:00"/>
    <n v="0"/>
    <s v="Reta, Felix [C]"/>
    <m/>
  </r>
  <r>
    <x v="7"/>
    <s v="Projects"/>
    <s v="Project 505926 AFNI Workforce expansion ACD &amp; RTA feeds to Cisco UCCE [Kickoff]"/>
    <x v="26"/>
    <d v="2022-04-01T00:00:00"/>
    <d v="1899-12-30T00:00:00"/>
    <d v="1899-12-30T00:00:00"/>
    <n v="72"/>
    <s v="Reta, Felix [C]"/>
    <m/>
  </r>
  <r>
    <x v="0"/>
    <s v="Projects"/>
    <s v="RE: Weekly Project Status Meeting JetBlue/Alvaria "/>
    <x v="27"/>
    <d v="2022-04-06T00:00:00"/>
    <d v="1899-12-30T00:00:00"/>
    <d v="1899-12-30T00:00:00"/>
    <n v="168"/>
    <s v="Reta, Felix [C]"/>
    <m/>
  </r>
  <r>
    <x v="6"/>
    <s v="Projects"/>
    <s v="505921 PNC Bank - PS, ACD Historical and RTA Feeds to WFM [Completion notice]"/>
    <x v="27"/>
    <d v="2022-04-11T00:00:00"/>
    <d v="1899-12-30T00:00:00"/>
    <d v="1899-12-30T00:00:00"/>
    <n v="288"/>
    <s v="Reta, Felix [C]"/>
    <m/>
  </r>
  <r>
    <x v="4"/>
    <s v="Projects"/>
    <s v="505909 M&amp;T - Case 01212743- UIP Certs Expiring"/>
    <x v="27"/>
    <d v="2022-04-14T00:00:00"/>
    <d v="1899-12-30T00:00:00"/>
    <d v="1899-12-30T00:00:00"/>
    <n v="360"/>
    <s v="Reta, Felix [C]"/>
    <m/>
  </r>
  <r>
    <x v="7"/>
    <s v="Projects"/>
    <s v="RE: Project 505926 AFNI Workforce expansion ACD &amp; RTA feeds to Cisco UCCE [Kickoff]"/>
    <x v="9"/>
    <d v="2022-04-11T00:00:00"/>
    <d v="1899-12-30T00:00:00"/>
    <d v="1899-12-30T00:00:00"/>
    <n v="240"/>
    <s v="Reta, Felix [C]"/>
    <m/>
  </r>
  <r>
    <x v="9"/>
    <s v="Projects"/>
    <s v="505936 -Synnex - Dell - Accenture - WFM Upgrade V19- V21.1"/>
    <x v="9"/>
    <d v="2022-04-05T00:00:00"/>
    <d v="1899-12-30T00:00:00"/>
    <d v="1899-12-30T00:00:00"/>
    <n v="96"/>
    <s v="Reta, Felix [C]"/>
    <m/>
  </r>
  <r>
    <x v="0"/>
    <s v="Projects"/>
    <s v="RE: Browser Standardization | Bowser Extension SCripts"/>
    <x v="28"/>
    <d v="2022-04-12T00:00:00"/>
    <d v="1899-12-30T00:00:00"/>
    <d v="1899-12-30T00:00:00"/>
    <n v="192"/>
    <s v="Reta, Felix [C]"/>
    <m/>
  </r>
  <r>
    <x v="0"/>
    <s v="Projects"/>
    <s v="Practice QTR PS Forecast review"/>
    <x v="24"/>
    <d v="2022-04-07T00:00:00"/>
    <d v="1899-12-30T00:00:00"/>
    <d v="1899-12-30T00:00:00"/>
    <n v="336"/>
    <s v="Reta, Felix [C]"/>
    <m/>
  </r>
  <r>
    <x v="1"/>
    <s v="Projects"/>
    <s v="FW: WFM Segment Export/Email testing [505845]"/>
    <x v="29"/>
    <d v="2022-04-07T00:00:00"/>
    <d v="1899-12-30T00:00:00"/>
    <d v="1899-12-30T00:00:00"/>
    <n v="48"/>
    <s v="Reta, Felix [C]"/>
    <m/>
  </r>
  <r>
    <x v="0"/>
    <s v="Projects"/>
    <s v="RE: WFM Segment Export/Email testing"/>
    <x v="29"/>
    <d v="2022-04-07T00:00:00"/>
    <d v="1899-12-30T00:00:00"/>
    <d v="1899-12-30T00:00:00"/>
    <n v="48"/>
    <s v="Reta, Felix [C]"/>
    <m/>
  </r>
  <r>
    <x v="5"/>
    <s v="Projects"/>
    <s v="RE: R.A.: Reta, Felix #391173 PA#: 505453, 50119 United Biosource LLC"/>
    <x v="29"/>
    <d v="2022-04-07T00:00:00"/>
    <d v="1899-12-30T00:00:00"/>
    <d v="1899-12-30T00:00:00"/>
    <n v="48"/>
    <s v="Reta, Felix [C]"/>
    <m/>
  </r>
  <r>
    <x v="9"/>
    <s v="Projects"/>
    <s v="505936 -Synnex - Dell - Accenture - WFM Upgrade V19- V21.1 Client briefing."/>
    <x v="30"/>
    <d v="2022-04-08T00:00:00"/>
    <d v="1899-12-30T00:00:00"/>
    <d v="1899-12-30T00:00:00"/>
    <n v="48"/>
    <s v="Reta, Felix [C]"/>
    <m/>
  </r>
  <r>
    <x v="0"/>
    <s v="Projects"/>
    <s v="RE: PNC Bank ACD add"/>
    <x v="31"/>
    <d v="2022-04-08T00:00:00"/>
    <d v="1899-12-30T00:00:00"/>
    <d v="1899-12-30T00:00:00"/>
    <n v="24"/>
    <s v="Reta, Felix [C]"/>
    <m/>
  </r>
  <r>
    <x v="0"/>
    <s v="Projects"/>
    <s v="FW: [EXTERNAL]United Biosource Corp Version Enhancement Workshop 8.3-21"/>
    <x v="31"/>
    <d v="4501-01-01T00:00:00"/>
    <d v="1899-12-30T00:00:00"/>
    <d v="1899-12-30T00:00:00"/>
    <n v="21728160"/>
    <s v="Reta, Felix [C]"/>
    <m/>
  </r>
  <r>
    <x v="3"/>
    <s v="Projects"/>
    <s v="505017 Camis Lori requested reminder end of April"/>
    <x v="28"/>
    <d v="4501-01-01T00:00:00"/>
    <d v="1899-12-30T00:00:00"/>
    <d v="1899-12-30T00:00:00"/>
    <n v="21728232"/>
    <s v="Reta, Felix [C]"/>
    <m/>
  </r>
  <r>
    <x v="6"/>
    <s v="Projects"/>
    <s v="PNC closing [505921]"/>
    <x v="32"/>
    <d v="2022-04-22T00:00:00"/>
    <d v="1899-12-30T00:00:00"/>
    <d v="1899-12-30T00:00:00"/>
    <n v="264"/>
    <s v="Reta, Felix [C]"/>
    <m/>
  </r>
  <r>
    <x v="4"/>
    <s v="Projects"/>
    <s v="Closing 505909 M&amp;T Bank certs"/>
    <x v="32"/>
    <d v="2022-04-13T00:00:00"/>
    <d v="1899-12-30T00:00:00"/>
    <d v="1899-12-30T00:00:00"/>
    <n v="48"/>
    <s v="Reta, Felix [C]"/>
    <m/>
  </r>
  <r>
    <x v="0"/>
    <s v="Projects"/>
    <s v="Practice QTR PS Forecast review"/>
    <x v="33"/>
    <d v="2022-04-11T00:00:00"/>
    <d v="1899-12-30T00:00:00"/>
    <d v="1899-12-30T00:00:00"/>
    <n v="264"/>
    <s v="Reta, Felix [C]"/>
    <m/>
  </r>
  <r>
    <x v="9"/>
    <s v="Projects"/>
    <s v="R.A.: Reta, Felix #392592 PA#: 505936, 38389 TD SYNNEX Corporation, REQ_WFM BAC"/>
    <x v="32"/>
    <d v="2022-04-18T00:00:00"/>
    <d v="1899-12-30T00:00:00"/>
    <d v="1899-12-30T00:00:00"/>
    <n v="168"/>
    <s v="Reta, Felix [C]"/>
    <m/>
  </r>
  <r>
    <x v="7"/>
    <s v="Projects"/>
    <s v="Workshop Project 505926 AFNI Workforce expansion ACD &amp; RTA feeds to Cisco UCCE"/>
    <x v="34"/>
    <d v="4501-01-01T00:00:00"/>
    <d v="1899-12-30T00:00:00"/>
    <d v="1899-12-30T00:00:00"/>
    <n v="21728040"/>
    <s v="Reta, Felix [C]"/>
    <m/>
  </r>
  <r>
    <x v="7"/>
    <s v="Projects"/>
    <s v="Resource Allocation Approved (Resource: Biggs, Tumoyia R) [505926, 6881 AFNI Inc,]"/>
    <x v="35"/>
    <d v="2022-04-15T00:00:00"/>
    <d v="1899-12-30T00:00:00"/>
    <d v="1899-12-30T00:00:00"/>
    <n v="48"/>
    <s v="Reta, Felix [C]"/>
    <m/>
  </r>
  <r>
    <x v="7"/>
    <s v="Projects"/>
    <s v="Project 505926 AFNI Workforce expansion ACD &amp; RTA feeds to Cisco UCCE"/>
    <x v="35"/>
    <d v="2022-04-21T00:00:00"/>
    <d v="1899-12-30T00:00:00"/>
    <d v="1899-12-30T00:00:00"/>
    <n v="192"/>
    <s v="Reta, Felix [C]"/>
    <m/>
  </r>
  <r>
    <x v="10"/>
    <s v="Projects"/>
    <s v="FW: Alvaria Workforce DR VM Move SOW [505971 Assurant full reinstall]"/>
    <x v="35"/>
    <d v="2022-04-14T00:00:00"/>
    <d v="1899-12-30T00:00:00"/>
    <d v="1899-12-30T00:00:00"/>
    <n v="24"/>
    <s v="Reta, Felix [C]"/>
    <m/>
  </r>
  <r>
    <x v="7"/>
    <s v="Projects"/>
    <s v="RE: [EXTERNAL]RE: [EXTERNAL]Project 505926 AFNI Workforce expansion ACD &amp; RTA feeds to Cisco UCCE"/>
    <x v="35"/>
    <d v="2022-04-21T00:00:00"/>
    <d v="1899-12-30T00:00:00"/>
    <d v="1899-12-30T00:00:00"/>
    <n v="192"/>
    <s v="Reta, Felix [C]"/>
    <m/>
  </r>
  <r>
    <x v="11"/>
    <s v="Projects"/>
    <s v="505955 Screen scraper upgrade."/>
    <x v="35"/>
    <d v="2022-04-13T00:00:00"/>
    <d v="1899-12-30T00:00:00"/>
    <d v="1899-12-30T00:00:00"/>
    <n v="0"/>
    <s v="Reta, Felix [C]"/>
    <m/>
  </r>
  <r>
    <x v="8"/>
    <s v="Projects"/>
    <s v="RE: CMS 19 Alignment [505563 -Jet Blue - Premise APM Upgrade to V.21]"/>
    <x v="35"/>
    <d v="2022-04-18T00:00:00"/>
    <d v="1899-12-30T00:00:00"/>
    <d v="1899-12-30T00:00:00"/>
    <n v="120"/>
    <s v="Reta, Felix [C]"/>
    <m/>
  </r>
  <r>
    <x v="0"/>
    <s v="Projects"/>
    <s v="Accepted: Question about CTI pulling calls action: From ItemSend ☮"/>
    <x v="36"/>
    <d v="2022-04-21T00:00:00"/>
    <d v="1899-12-30T00:00:00"/>
    <d v="1899-12-30T00:00:00"/>
    <n v="168"/>
    <s v="Reta, Felix [C]"/>
    <m/>
  </r>
  <r>
    <x v="8"/>
    <s v="Projects"/>
    <s v="Updated Project schedule [505563 -Jet Blue - Premise APM Upgrade to V.21]"/>
    <x v="36"/>
    <d v="2022-04-21T00:00:00"/>
    <d v="1899-12-30T00:00:00"/>
    <d v="1899-12-30T00:00:00"/>
    <n v="168"/>
    <s v="Reta, Felix [C]"/>
    <m/>
  </r>
  <r>
    <x v="1"/>
    <s v="Projects"/>
    <s v="505845 -Credit Acceptance Corp. - WFM/APM and AQM Upgrade to V21, Resource working hours per contract."/>
    <x v="36"/>
    <d v="2022-04-14T00:00:00"/>
    <d v="1899-12-30T00:00:00"/>
    <d v="1899-12-30T00:00:00"/>
    <n v="0"/>
    <s v="Reta, Felix [C]"/>
    <m/>
  </r>
  <r>
    <x v="12"/>
    <s v="Projects"/>
    <s v="505978 Rushmore - New AQM Server"/>
    <x v="36"/>
    <d v="2022-04-19T00:00:00"/>
    <d v="1899-12-30T00:00:00"/>
    <d v="1899-12-30T00:00:00"/>
    <n v="120"/>
    <s v="Reta, Felix [C]"/>
    <m/>
  </r>
  <r>
    <x v="12"/>
    <s v="Projects"/>
    <s v="RE: 505978 Rushmore - New AQM Server [EXTERNAL]"/>
    <x v="11"/>
    <d v="2022-04-19T00:00:00"/>
    <d v="1899-12-30T00:00:00"/>
    <d v="1899-12-30T00:00:00"/>
    <n v="96"/>
    <s v="Reta, Felix [C]"/>
    <m/>
  </r>
  <r>
    <x v="0"/>
    <s v="Projects"/>
    <s v="RE: JB ODBC Drivers"/>
    <x v="37"/>
    <d v="2022-04-25T00:00:00"/>
    <d v="1899-12-30T00:00:00"/>
    <d v="1899-12-30T00:00:00"/>
    <n v="168"/>
    <s v="Reta, Felix [C]"/>
    <m/>
  </r>
  <r>
    <x v="8"/>
    <s v="Projects"/>
    <s v="FW: 4-13.22 Weekly Project Status Meeting JetBlue/Alvaria [505563]"/>
    <x v="37"/>
    <d v="2022-04-25T00:00:00"/>
    <d v="1899-12-30T00:00:00"/>
    <d v="1899-12-30T00:00:00"/>
    <n v="168"/>
    <s v="Reta, Felix [C]"/>
    <m/>
  </r>
  <r>
    <x v="8"/>
    <s v="Projects"/>
    <s v="FW: 4-13.22 Weekly Project Status Meeting JetBlue/Alvaria [505563]"/>
    <x v="37"/>
    <d v="2022-04-25T00:00:00"/>
    <d v="1899-12-30T00:00:00"/>
    <d v="1899-12-30T00:00:00"/>
    <n v="168"/>
    <s v="Reta, Felix [C]"/>
    <m/>
  </r>
  <r>
    <x v="0"/>
    <s v="Projects"/>
    <s v="FW: jetblue"/>
    <x v="37"/>
    <d v="2022-04-25T00:00:00"/>
    <d v="1899-12-30T00:00:00"/>
    <d v="1899-12-30T00:00:00"/>
    <n v="168"/>
    <s v="Reta, Felix [C]"/>
    <m/>
  </r>
  <r>
    <x v="7"/>
    <s v="Projects"/>
    <s v="Project 505926 AFNI Workforce expansion Workshop"/>
    <x v="37"/>
    <d v="4501-01-01T00:00:00"/>
    <d v="1899-12-30T00:00:00"/>
    <d v="1899-12-30T00:00:00"/>
    <n v="21727896"/>
    <s v="Reta, Felix [C]"/>
    <m/>
  </r>
  <r>
    <x v="0"/>
    <s v="Projects"/>
    <s v="Practice QTR PS Forecast review"/>
    <x v="20"/>
    <d v="2022-04-18T00:00:00"/>
    <d v="1899-12-30T00:00:00"/>
    <d v="1899-12-30T00:00:00"/>
    <n v="768"/>
    <s v="Reta, Felix [C]"/>
    <m/>
  </r>
  <r>
    <x v="1"/>
    <s v="Projects"/>
    <s v="Stereo support readiness for 505845 -Credit Acceptance Corp. - WFM/APM and AQM Upgrade to V21."/>
    <x v="37"/>
    <d v="2022-04-25T00:00:00"/>
    <d v="1899-12-30T00:00:00"/>
    <d v="1899-12-30T00:00:00"/>
    <n v="168"/>
    <s v="Reta, Felix [C]"/>
    <m/>
  </r>
  <r>
    <x v="0"/>
    <s v="Projects"/>
    <s v="Practice QTR PS Forecast review"/>
    <x v="24"/>
    <d v="2022-04-19T00:00:00"/>
    <d v="1899-12-30T00:00:00"/>
    <d v="1899-12-30T00:00:00"/>
    <n v="624"/>
    <s v="Reta, Felix [C]"/>
    <m/>
  </r>
  <r>
    <x v="12"/>
    <s v="Projects"/>
    <s v="RE: 505978 Rushmore - New AQM Server."/>
    <x v="38"/>
    <d v="2022-04-26T00:00:00"/>
    <d v="1899-12-30T00:00:00"/>
    <d v="1899-12-30T00:00:00"/>
    <n v="168"/>
    <s v="Reta, Felix [C]"/>
    <m/>
  </r>
  <r>
    <x v="0"/>
    <s v="Projects"/>
    <s v="Practice QTR PS Forecast review"/>
    <x v="33"/>
    <d v="2022-04-19T00:00:00"/>
    <d v="1899-12-30T00:00:00"/>
    <d v="1899-12-30T00:00:00"/>
    <n v="456"/>
    <s v="Reta, Felix [C]"/>
    <m/>
  </r>
  <r>
    <x v="1"/>
    <s v="Projects"/>
    <s v="RE: Stereo support readiness for 505845 -Credit Acceptance Corp. - WFM/APM and AQM Upgrade to V21."/>
    <x v="39"/>
    <d v="2022-04-22T00:00:00"/>
    <d v="1899-12-30T00:00:00"/>
    <d v="1899-12-30T00:00:00"/>
    <n v="48"/>
    <s v="Reta, Felix [C]"/>
    <m/>
  </r>
  <r>
    <x v="0"/>
    <s v="Projects"/>
    <s v="RE: CCI - Weekly Project Checkpoint"/>
    <x v="39"/>
    <d v="2022-04-22T00:00:00"/>
    <d v="1899-12-30T00:00:00"/>
    <d v="1899-12-30T00:00:00"/>
    <n v="48"/>
    <s v="Reta, Felix [C]"/>
    <m/>
  </r>
  <r>
    <x v="9"/>
    <s v="Projects"/>
    <s v="505936 -Synnex - Dell - Accenture - WFM Upgrade V19- V21.1 WORKSHOP"/>
    <x v="39"/>
    <d v="4501-01-01T00:00:00"/>
    <d v="1899-12-30T00:00:00"/>
    <d v="1899-12-30T00:00:00"/>
    <n v="21727848"/>
    <s v="Reta, Felix [C]"/>
    <m/>
  </r>
  <r>
    <x v="1"/>
    <s v="Projects"/>
    <s v="(Resource: REQ_UIP IC) for 505845 -Credit Acceptance Corp. - WFM/APM and AQM Upgrade to V21"/>
    <x v="39"/>
    <d v="2022-04-22T00:00:00"/>
    <d v="1899-12-30T00:00:00"/>
    <d v="1899-12-30T00:00:00"/>
    <n v="48"/>
    <s v="Reta, Felix [C]"/>
    <m/>
  </r>
  <r>
    <x v="1"/>
    <s v="Projects"/>
    <s v="RE: Stereo support readiness for 505845 -Credit Acceptance Corp. - WFM/APM and AQM Upgrade to V21."/>
    <x v="39"/>
    <d v="2022-04-21T00:00:00"/>
    <d v="1899-12-30T00:00:00"/>
    <d v="1899-12-30T00:00:00"/>
    <n v="24"/>
    <s v="Reta, Felix [C]"/>
    <m/>
  </r>
  <r>
    <x v="9"/>
    <s v="Projects"/>
    <s v="Re: File media WFM 21.1 for 505936 -Synnex - Dell - Accenture - WFM Upgrade V19- V21.1"/>
    <x v="40"/>
    <d v="2022-04-22T00:00:00"/>
    <d v="1899-12-30T00:00:00"/>
    <d v="1899-12-30T00:00:00"/>
    <n v="24"/>
    <s v="Reta, Felix [C]"/>
    <m/>
  </r>
  <r>
    <x v="9"/>
    <s v="Projects"/>
    <s v="RE: Re: File media WFM 21.1 for 505936 -Synnex - Dell - Accenture - WFM Upgrade V19- V21.1"/>
    <x v="40"/>
    <d v="2022-04-27T00:00:00"/>
    <d v="1899-12-30T00:00:00"/>
    <d v="1899-12-30T00:00:00"/>
    <n v="144"/>
    <s v="Reta, Felix [C]"/>
    <m/>
  </r>
  <r>
    <x v="1"/>
    <s v="Projects"/>
    <s v="RE: R.A.: Reta, Felix #395033 PA#: 505845, 6167 Credit Acceptance Corp, REQ_UIP IC"/>
    <x v="40"/>
    <d v="2022-04-22T00:00:00"/>
    <d v="1899-12-30T00:00:00"/>
    <d v="1899-12-30T00:00:00"/>
    <n v="24"/>
    <s v="Reta, Felix [C]"/>
    <m/>
  </r>
  <r>
    <x v="9"/>
    <s v="Projects"/>
    <s v="FW: 505936 -Synnex - Dell - Accenture - WFM Upgrade V19- V21.1"/>
    <x v="40"/>
    <d v="4501-01-01T00:00:00"/>
    <d v="1899-12-30T00:00:00"/>
    <d v="1899-12-30T00:00:00"/>
    <n v="21727824"/>
    <s v="Reta, Felix [C]"/>
    <m/>
  </r>
  <r>
    <x v="0"/>
    <s v="Projects"/>
    <s v="Practice QTR PS Forecast review"/>
    <x v="40"/>
    <d v="2022-04-21T00:00:00"/>
    <d v="1899-12-30T00:00:00"/>
    <d v="1899-12-30T00:00:00"/>
    <n v="0"/>
    <s v="Reta, Felix [C]"/>
    <m/>
  </r>
  <r>
    <x v="1"/>
    <s v="Projects"/>
    <s v="BAC Transition for 505845 -Credit Acceptance Corp. - WFM/APM and AQM Upgrade to V21 action: From ItemSend ☮"/>
    <x v="40"/>
    <d v="2022-04-22T00:00:00"/>
    <d v="1899-12-30T00:00:00"/>
    <d v="1899-12-30T00:00:00"/>
    <n v="24"/>
    <s v="Reta, Felix [C]"/>
    <m/>
  </r>
  <r>
    <x v="12"/>
    <s v="Projects"/>
    <s v="505978 Rushmore - New AQM Server CERTS"/>
    <x v="40"/>
    <d v="2022-04-22T00:00:00"/>
    <d v="1899-12-30T00:00:00"/>
    <d v="1899-12-30T00:00:00"/>
    <n v="24"/>
    <s v="Reta, Felix [C]"/>
    <m/>
  </r>
  <r>
    <x v="0"/>
    <s v="Projects"/>
    <s v="RE: PM Feedback"/>
    <x v="12"/>
    <d v="2022-04-22T00:00:00"/>
    <d v="1899-12-30T00:00:00"/>
    <d v="1899-12-30T00:00:00"/>
    <n v="0"/>
    <s v="Reta, Felix [C]"/>
    <m/>
  </r>
  <r>
    <x v="0"/>
    <s v="Projects"/>
    <s v="RE: Synnex-Dell-Accenture- WFM Upgrade V19- V21.1 || Server Audit"/>
    <x v="12"/>
    <d v="2022-04-29T00:00:00"/>
    <d v="1899-12-30T00:00:00"/>
    <d v="1899-12-30T00:00:00"/>
    <n v="168"/>
    <s v="Reta, Felix [C]"/>
    <m/>
  </r>
  <r>
    <x v="12"/>
    <s v="Projects"/>
    <s v="RE: 505978 Rushmore - New AQM Server CERTS [EXTERNAL]"/>
    <x v="12"/>
    <d v="2022-04-29T00:00:00"/>
    <d v="1899-12-30T00:00:00"/>
    <d v="1899-12-30T00:00:00"/>
    <n v="168"/>
    <s v="Reta, Felix [C]"/>
    <m/>
  </r>
  <r>
    <x v="1"/>
    <s v="Projects"/>
    <s v="RE: Change Request for 505845 -Credit Acceptance Corp. - WFM/APM and AQM Upgrade to V21"/>
    <x v="12"/>
    <d v="2022-04-29T00:00:00"/>
    <d v="1899-12-30T00:00:00"/>
    <d v="1899-12-30T00:00:00"/>
    <n v="168"/>
    <s v="Reta, Felix [C]"/>
    <m/>
  </r>
  <r>
    <x v="1"/>
    <s v="Projects"/>
    <s v="CR002 approval 505845 CAC"/>
    <x v="12"/>
    <d v="2022-04-29T00:00:00"/>
    <d v="1899-12-30T00:00:00"/>
    <d v="1899-12-30T00:00:00"/>
    <n v="168"/>
    <s v="Reta, Felix [C]"/>
    <m/>
  </r>
  <r>
    <x v="13"/>
    <s v="Projects"/>
    <s v="☮ ⛵ 505983 TD Auto Finance - AQM Certs 2022 ✈🕑"/>
    <x v="12"/>
    <d v="2022-04-25T00:00:00"/>
    <d v="1899-12-30T00:00:00"/>
    <d v="1899-12-30T00:00:00"/>
    <n v="72"/>
    <s v="Reta, Felix [C]"/>
    <m/>
  </r>
  <r>
    <x v="8"/>
    <s v="Projects"/>
    <s v="☮ ⛵ CMS 19 Alignment [505563 -Jet Blue - Premise APM Upgrade to V.21] ✈🕑"/>
    <x v="12"/>
    <d v="4501-01-01T00:00:00"/>
    <d v="1899-12-30T00:00:00"/>
    <d v="1899-12-30T00:00:00"/>
    <n v="21727800"/>
    <s v="Reta, Felix [C]"/>
    <m/>
  </r>
  <r>
    <x v="10"/>
    <s v="Projects"/>
    <s v="☮ ⛵ 505971 Assurant - Full Reinstall - PS only ✈🕑"/>
    <x v="12"/>
    <d v="2022-04-29T00:00:00"/>
    <d v="1899-12-30T00:00:00"/>
    <d v="1899-12-30T00:00:00"/>
    <n v="168"/>
    <s v="Reta, Felix [C]"/>
    <m/>
  </r>
  <r>
    <x v="13"/>
    <s v="Projects"/>
    <s v="☮ ⛵ RE: TDA USAN Certs - CSRs  - Replacement - April 12, 2022 Expiration [505983 AQM] ✈🕑"/>
    <x v="13"/>
    <d v="2022-04-27T00:00:00"/>
    <d v="1899-12-30T00:00:00"/>
    <d v="1899-12-30T00:00:00"/>
    <n v="48"/>
    <s v="Reta, Felix [C]"/>
    <m/>
  </r>
  <r>
    <x v="7"/>
    <s v="Projects"/>
    <s v="☮ ⛵ RE: Project 505926 AFNI Workforce expansion Workshop ✈🕑"/>
    <x v="13"/>
    <d v="4501-01-01T00:00:00"/>
    <d v="1899-12-30T00:00:00"/>
    <d v="1899-12-30T00:00:00"/>
    <n v="21727728"/>
    <s v="Reta, Felix [C]"/>
    <m/>
  </r>
  <r>
    <x v="7"/>
    <s v="Projects"/>
    <s v="505926 AFNI Afni WFM Files"/>
    <x v="13"/>
    <d v="4501-01-01T00:00:00"/>
    <d v="1899-12-30T00:00:00"/>
    <d v="1899-12-30T00:00:00"/>
    <n v="21727728"/>
    <s v="Reta, Felix [C]"/>
    <m/>
  </r>
  <r>
    <x v="7"/>
    <s v="Projects"/>
    <s v="☮ ⛵ RE: Afni WFM Files [505926 AFNI ] ✈🕑"/>
    <x v="13"/>
    <d v="4501-01-01T00:00:00"/>
    <d v="1899-12-30T00:00:00"/>
    <d v="1899-12-30T00:00:00"/>
    <n v="21727728"/>
    <s v="Reta, Felix [C]"/>
    <m/>
  </r>
  <r>
    <x v="12"/>
    <s v="Projects"/>
    <s v="☮ ⛵ RE: 505978 Rushmore - New AQM Server CERTS [EXTERNAL] ✈🕑"/>
    <x v="13"/>
    <d v="4501-01-01T00:00:00"/>
    <d v="1899-12-30T00:00:00"/>
    <d v="1899-12-30T00:00:00"/>
    <n v="21727728"/>
    <s v="Reta, Felix [C]"/>
    <m/>
  </r>
  <r>
    <x v="12"/>
    <s v="Projects"/>
    <s v="☮ ⛵ RE: 505978 Rushmore - New AQM Server CERTS [EXTERNAL] ✈🕑"/>
    <x v="13"/>
    <d v="4501-01-01T00:00:00"/>
    <d v="1899-12-30T00:00:00"/>
    <d v="1899-12-30T00:00:00"/>
    <n v="21727728"/>
    <s v="Reta, Felix [C]"/>
    <m/>
  </r>
  <r>
    <x v="0"/>
    <s v="Projects"/>
    <s v="☮ ⛵ AQM Certificate Installation action: from Inbox ✈🕑"/>
    <x v="13"/>
    <d v="4501-01-01T00:00:00"/>
    <d v="1899-12-30T00:00:00"/>
    <d v="1899-12-30T00:00:00"/>
    <n v="21727728"/>
    <s v="Reta, Felix [C]"/>
    <m/>
  </r>
  <r>
    <x v="13"/>
    <s v="Projects"/>
    <s v="☮ ⛵ RE: 505983 TD Auto Finance - AQM Certs 2022 ✈🕑"/>
    <x v="13"/>
    <d v="2022-04-28T00:00:00"/>
    <d v="1899-12-30T00:00:00"/>
    <d v="1899-12-30T00:00:00"/>
    <n v="72"/>
    <s v="Reta, Felix [C]"/>
    <m/>
  </r>
  <r>
    <x v="11"/>
    <s v="Projects"/>
    <s v="☮ ⛵ RE: 505955 Screen scraper upgrade. [EXTERNAL] ✈🕑"/>
    <x v="13"/>
    <d v="4501-01-01T00:00:00"/>
    <d v="1899-12-30T00:00:00"/>
    <d v="1899-12-30T00:00:00"/>
    <n v="21727728"/>
    <s v="Reta, Felix [C]"/>
    <m/>
  </r>
  <r>
    <x v="13"/>
    <s v="Projects"/>
    <s v="☮ ⛵ RE: 505983 TD Auto Finance - AQM Certs 2022 ✈🕑"/>
    <x v="13"/>
    <d v="4501-01-01T00:00:00"/>
    <d v="1899-12-30T00:00:00"/>
    <d v="1899-12-30T00:00:00"/>
    <n v="21727728"/>
    <s v="Reta, Felix [C]"/>
    <m/>
  </r>
  <r>
    <x v="10"/>
    <s v="Projects"/>
    <s v="☮ ⛵ RE: 505971 Assurant - Full Reinstall - PS only ✈🕑"/>
    <x v="13"/>
    <d v="4501-01-01T00:00:00"/>
    <d v="1899-12-30T00:00:00"/>
    <d v="1899-12-30T00:00:00"/>
    <n v="21727728"/>
    <s v="Reta, Felix [C]"/>
    <m/>
  </r>
  <r>
    <x v="10"/>
    <s v="Projects"/>
    <s v="☮ ⛵ RE: 505971 Assurant - Full Reinstall - PS only ✈🕑"/>
    <x v="13"/>
    <d v="4501-01-01T00:00:00"/>
    <d v="1899-12-30T00:00:00"/>
    <d v="1899-12-30T00:00:00"/>
    <n v="21727728"/>
    <s v="Reta, Felix [C]"/>
    <m/>
  </r>
  <r>
    <x v="12"/>
    <s v="Projects"/>
    <s v="☮ ⛵ RE: 505978 Rushmore - New AQM Server ✈🕑"/>
    <x v="13"/>
    <d v="4501-01-01T00:00:00"/>
    <d v="1899-12-30T00:00:00"/>
    <d v="1899-12-30T00:00:00"/>
    <n v="21727728"/>
    <s v="Reta, Felix [C]"/>
    <m/>
  </r>
  <r>
    <x v="1"/>
    <s v="Projects"/>
    <s v="☮ ⛵ FW: WFM 21 Dev [505845 -Credit Acceptance Corp. - WFM/APM and AQM Upgrade to V21] ✈🕑"/>
    <x v="13"/>
    <d v="4501-01-01T00:00:00"/>
    <d v="1899-12-30T00:00:00"/>
    <d v="1899-12-30T00:00:00"/>
    <n v="21727728"/>
    <s v="Reta, Felix [C]"/>
    <m/>
  </r>
  <r>
    <x v="11"/>
    <s v="Projects"/>
    <s v="☮ ⛵ 505955 Rushmore UIP Screen Pop Migration. ✈🕑"/>
    <x v="41"/>
    <d v="4501-01-01T00:00:00"/>
    <d v="1899-12-30T00:00:00"/>
    <d v="1899-12-30T00:00:00"/>
    <n v="21727704"/>
    <s v="Reta, Felix [C]"/>
    <m/>
  </r>
  <r>
    <x v="0"/>
    <s v="Projects"/>
    <s v="☮ ⛵ CAC Stuff action: from Inbox ✈🕑"/>
    <x v="41"/>
    <d v="4501-01-01T00:00:00"/>
    <d v="1899-12-30T00:00:00"/>
    <d v="1899-12-30T00:00:00"/>
    <n v="21727704"/>
    <s v="Reta, Felix [C]"/>
    <m/>
  </r>
  <r>
    <x v="0"/>
    <s v="Projects"/>
    <s v="☮ ⛵ RE: [EXTERNALBock, April [C] &lt;April.Bock@Alvaria.com&gt;]RE: Afni WFM Files ✈🕑"/>
    <x v="41"/>
    <d v="4501-01-01T00:00:00"/>
    <d v="1899-12-30T00:00:00"/>
    <d v="1899-12-30T00:00:00"/>
    <n v="21727704"/>
    <s v="Reta, Felix [C]"/>
    <m/>
  </r>
  <r>
    <x v="1"/>
    <s v="Projects"/>
    <s v="☮ ⛵ Change Request. WFM 21 Dev [505845 -Credit Acceptance Corp. - WFM/APM and AQM Upgrade to V21] ✈🕑"/>
    <x v="41"/>
    <d v="2022-04-27T00:00:00"/>
    <d v="1899-12-30T00:00:00"/>
    <d v="1899-12-30T00:00:00"/>
    <n v="24"/>
    <s v="Reta, Felix [C]"/>
    <m/>
  </r>
  <r>
    <x v="1"/>
    <s v="Projects"/>
    <s v="☮ ⛵ RE: WFM 21 Dev [505845 -Credit Acceptance Corp. - WFM/APM and AQM Upgrade to V21] ✈🕑"/>
    <x v="1"/>
    <d v="2022-04-27T00:00:00"/>
    <d v="1899-12-30T00:00:00"/>
    <d v="1899-12-30T00:00:00"/>
    <n v="0"/>
    <s v="Reta, Felix [C]"/>
    <m/>
  </r>
  <r>
    <x v="10"/>
    <s v="Projects"/>
    <s v="☮ ⛵ RE: 505971 Assurant - Full Reinstall - PS only ✈🕑"/>
    <x v="1"/>
    <d v="2022-04-27T00:00:00"/>
    <d v="1899-12-30T00:00:00"/>
    <d v="1899-12-30T00:00:00"/>
    <n v="0"/>
    <s v="Reta, Felix [C]"/>
    <m/>
  </r>
  <r>
    <x v="13"/>
    <s v="Projects"/>
    <s v="☮ ⛵ RE: 505983 TD Auto Finance - AQM Certs 2022 ✈🕑"/>
    <x v="1"/>
    <d v="2022-04-27T00:00:00"/>
    <d v="1899-12-30T00:00:00"/>
    <d v="1899-12-30T00:00:00"/>
    <n v="0"/>
    <s v="Reta, Felix [C]"/>
    <m/>
  </r>
  <r>
    <x v="10"/>
    <s v="Projects"/>
    <s v="☮ ⛵ RE: 505971 Assurant - Full Reinstall - PS only ✈🕑"/>
    <x v="1"/>
    <d v="4501-01-01T00:00:00"/>
    <d v="1899-12-30T00:00:00"/>
    <d v="1899-12-30T00:00:00"/>
    <n v="21727680"/>
    <s v="Reta, Felix [C]"/>
    <m/>
  </r>
  <r>
    <x v="14"/>
    <s v="Projects"/>
    <s v="☮ ⛵ 505967 JetBlue - PS - Secure Agent ✈🕑"/>
    <x v="1"/>
    <d v="2022-04-29T00:00:00"/>
    <d v="1899-12-30T00:00:00"/>
    <d v="1899-12-30T00:00:00"/>
    <n v="48"/>
    <s v="Reta, Felix [C]"/>
    <m/>
  </r>
  <r>
    <x v="13"/>
    <s v="Projects"/>
    <s v="☮ ⛵ AQM Cert  [505983 TD Auto Finance - AQM Certs 2022] ✈🕑"/>
    <x v="42"/>
    <d v="4501-01-01T00:00:00"/>
    <d v="1899-12-30T00:00:00"/>
    <d v="1899-12-30T00:00:00"/>
    <n v="21727656"/>
    <s v="Reta, Felix [C]"/>
    <m/>
  </r>
  <r>
    <x v="7"/>
    <s v="Projects"/>
    <s v="☮ ⛵ RE: Project 505926 AFNI Workforce expansion Workshop ✈🕑"/>
    <x v="42"/>
    <d v="4501-01-01T00:00:00"/>
    <d v="1899-12-30T00:00:00"/>
    <d v="1899-12-30T00:00:00"/>
    <n v="21727656"/>
    <s v="Reta, Felix [C]"/>
    <m/>
  </r>
  <r>
    <x v="1"/>
    <s v="Projects"/>
    <s v="☮ ⛵ Project review with CAC [505845 -Credit Acceptance Corp. - WFM/APM and AQM Upgrade to V21] ✈🕑"/>
    <x v="42"/>
    <d v="4501-01-01T00:00:00"/>
    <d v="1899-12-30T00:00:00"/>
    <d v="1899-12-30T00:00:00"/>
    <n v="21727656"/>
    <s v="Reta, Felix [C]"/>
    <m/>
  </r>
  <r>
    <x v="10"/>
    <s v="Projects"/>
    <s v="☮ ⛵ Date proposed for move. [505971 Assurant - Full Reinstall - PS only] ✈🕑"/>
    <x v="42"/>
    <d v="4501-01-01T00:00:00"/>
    <d v="1899-12-30T00:00:00"/>
    <d v="1899-12-30T00:00:00"/>
    <n v="21727656"/>
    <s v="Reta, Felix [C]"/>
    <m/>
  </r>
  <r>
    <x v="0"/>
    <s v="Projects"/>
    <s v="☮ ⛵ Synnex-Dell-Accenture- WFM Upgrade V19- V21.1 || APEA action: from Inbox ✈🕑"/>
    <x v="5"/>
    <d v="4501-01-01T00:00:00"/>
    <d v="1899-12-30T00:00:00"/>
    <d v="1899-12-30T00:00:00"/>
    <n v="21727632"/>
    <s v="Reta, Felix [C]"/>
    <m/>
  </r>
  <r>
    <x v="15"/>
    <s v="Projects"/>
    <s v="☮ ⛵ RE: 505742 Consumer Cellular - Via WFM Training Lab ✈🕑"/>
    <x v="5"/>
    <d v="4501-01-01T00:00:00"/>
    <d v="1899-12-30T00:00:00"/>
    <d v="1899-12-30T00:00:00"/>
    <n v="21727632"/>
    <s v="Reta, Felix [C]"/>
    <m/>
  </r>
  <r>
    <x v="13"/>
    <s v="Projects"/>
    <s v="☮ ⛵ RE: AQM Cert  [505983 TD Auto Finance - AQM Certs 2022] ✈🕑"/>
    <x v="5"/>
    <d v="4501-01-01T00:00:00"/>
    <d v="1899-12-30T00:00:00"/>
    <d v="1899-12-30T00:00:00"/>
    <n v="21727632"/>
    <s v="Reta, Felix [C]"/>
    <m/>
  </r>
  <r>
    <x v="0"/>
    <s v="Projects"/>
    <s v="Practice QTR PS Forecast review"/>
    <x v="42"/>
    <d v="2022-04-29T00:00:00"/>
    <d v="1899-12-30T00:00:00"/>
    <d v="1899-12-30T00:00:00"/>
    <n v="24"/>
    <s v="Reta, Felix [C]"/>
    <m/>
  </r>
  <r>
    <x v="13"/>
    <s v="Projects"/>
    <s v="☮ ⛵ FW: AQM Cert  [505983 TD Auto Finance - AQM Certs 2022] ✈🕑"/>
    <x v="5"/>
    <d v="4501-01-01T00:00:00"/>
    <d v="1899-12-30T00:00:00"/>
    <d v="1899-12-30T00:00:00"/>
    <n v="21727632"/>
    <s v="Reta, Felix [C]"/>
    <m/>
  </r>
  <r>
    <x v="0"/>
    <m/>
    <s v="Timesheets"/>
    <x v="43"/>
    <d v="2022-02-14T00:00:00"/>
    <d v="1899-12-30T00:00:00"/>
    <d v="1899-12-30T00:00:00"/>
    <n v="72"/>
    <s v="Reta, Felix [C]"/>
    <m/>
  </r>
  <r>
    <x v="0"/>
    <m/>
    <s v="Timesheets"/>
    <x v="44"/>
    <d v="2022-02-18T00:00:00"/>
    <d v="1899-12-30T00:00:00"/>
    <d v="1899-12-30T00:00:00"/>
    <n v="0"/>
    <s v="Reta, Felix [C]"/>
    <m/>
  </r>
  <r>
    <x v="0"/>
    <m/>
    <s v="Timesheets"/>
    <x v="14"/>
    <d v="2022-02-18T00:00:00"/>
    <d v="1899-12-30T00:00:00"/>
    <d v="1899-12-30T00:00:00"/>
    <n v="-168"/>
    <s v="Reta, Felix [C]"/>
    <m/>
  </r>
  <r>
    <x v="0"/>
    <m/>
    <s v="Timesheets"/>
    <x v="45"/>
    <d v="2022-02-26T00:00:00"/>
    <d v="1899-12-30T00:00:00"/>
    <d v="1899-12-30T00:00:00"/>
    <n v="-144"/>
    <s v="Reta, Felix [C]"/>
    <m/>
  </r>
  <r>
    <x v="0"/>
    <m/>
    <s v="Timesheets"/>
    <x v="6"/>
    <d v="2022-02-26T00:00:00"/>
    <d v="1899-12-30T00:00:00"/>
    <d v="1899-12-30T00:00:00"/>
    <n v="-312"/>
    <s v="Reta, Felix [C]"/>
    <m/>
  </r>
  <r>
    <x v="0"/>
    <m/>
    <s v="Timesheets"/>
    <x v="45"/>
    <d v="2022-03-07T00:00:00"/>
    <d v="1899-12-30T00:00:00"/>
    <d v="1899-12-30T00:00:00"/>
    <n v="72"/>
    <s v="Reta, Felix [C]"/>
    <m/>
  </r>
  <r>
    <x v="0"/>
    <m/>
    <s v="Schedule meeting with customer: subject: Scheduling your workshop."/>
    <x v="15"/>
    <d v="2022-03-09T00:00:00"/>
    <d v="1899-12-30T00:00:00"/>
    <d v="1899-12-30T00:00:00"/>
    <n v="0"/>
    <s v="Reta, Felix [C]"/>
    <m/>
  </r>
  <r>
    <x v="0"/>
    <m/>
    <s v="Issue S2I with team"/>
    <x v="21"/>
    <d v="2022-03-24T00:00:00"/>
    <d v="1899-12-30T00:00:00"/>
    <d v="1899-12-30T00:00:00"/>
    <n v="72"/>
    <s v="Reta, Felix [C]"/>
    <m/>
  </r>
  <r>
    <x v="0"/>
    <m/>
    <s v="Set up NS/SF"/>
    <x v="24"/>
    <d v="2022-03-24T00:00:00"/>
    <d v="1899-12-30T00:00:00"/>
    <d v="1899-12-30T00:00:00"/>
    <n v="0"/>
    <s v="Reta, Felix [C]"/>
    <m/>
  </r>
  <r>
    <x v="0"/>
    <m/>
    <s v="3/24/2022 Dan Upton timesheet approval for 3hr 3/14 ,16,17. I can vouch for the 15 &amp; 17th when we kicked off &amp; continued tech discussions"/>
    <x v="24"/>
    <d v="2022-03-28T00:00:00"/>
    <d v="1899-12-30T00:00:00"/>
    <d v="1899-12-30T00:00:00"/>
    <n v="96"/>
    <s v="Reta, Felix [C]"/>
    <m/>
  </r>
  <r>
    <x v="0"/>
    <m/>
    <s v="Emailed Adam AFNI, fup"/>
    <x v="33"/>
    <d v="2022-03-29T00:00:00"/>
    <d v="1899-12-30T00:00:00"/>
    <d v="1899-12-30T00:00:00"/>
    <n v="-48"/>
    <s v="Reta, Felix [C]"/>
    <m/>
  </r>
  <r>
    <x v="0"/>
    <m/>
    <s v="30 days APS Go Live"/>
    <x v="27"/>
    <d v="2022-04-04T00:00:00"/>
    <d v="1899-12-30T00:00:00"/>
    <d v="1899-12-30T00:00:00"/>
    <n v="120"/>
    <s v="Reta, Felix [C]"/>
    <m/>
  </r>
  <r>
    <x v="0"/>
    <m/>
    <s v="S2I meeting, SA, April Bock"/>
    <x v="32"/>
    <d v="2022-04-07T00:00:00"/>
    <d v="1899-12-30T00:00:00"/>
    <d v="1899-12-30T00:00:00"/>
    <n v="-96"/>
    <s v="Reta, Felix [C]"/>
    <m/>
  </r>
  <r>
    <x v="0"/>
    <m/>
    <s v="3.30 email to Richard &amp; Joseph to sign completion notice, fup reply"/>
    <x v="31"/>
    <d v="2022-04-22T00:00:00"/>
    <d v="1899-12-30T00:00:00"/>
    <d v="1899-12-30T00:00:00"/>
    <n v="360"/>
    <s v="Reta, Felix [C]"/>
    <m/>
  </r>
  <r>
    <x v="1"/>
    <m/>
    <s v="505845 CAC Issue meeting to formulate CR reqs with Dan Upton, Steve Beal and April"/>
    <x v="10"/>
    <d v="2022-04-18T00:00:00"/>
    <d v="1899-12-30T00:00:00"/>
    <d v="1899-12-30T00:00:00"/>
    <n v="240"/>
    <s v="Reta, Felix [C]"/>
    <m/>
  </r>
  <r>
    <x v="0"/>
    <m/>
    <s v="Adam sent Cisco file to April, fup"/>
    <x v="32"/>
    <d v="2022-04-13T00:00:00"/>
    <d v="1899-12-30T00:00:00"/>
    <d v="1899-12-30T00:00:00"/>
    <n v="48"/>
    <s v="Reta, Felix [C]"/>
    <m/>
  </r>
  <r>
    <x v="0"/>
    <m/>
    <s v="Close Milestone 1, initiation"/>
    <x v="36"/>
    <d v="2022-04-19T00:00:00"/>
    <d v="1899-12-30T00:00:00"/>
    <d v="1899-12-30T00:00:00"/>
    <n v="120"/>
    <s v="Reta, Felix [C]"/>
    <m/>
  </r>
  <r>
    <x v="0"/>
    <m/>
    <s v="UBC 4.7 Tumoyia scheduling, follow up completion "/>
    <x v="37"/>
    <d v="2022-04-27T00:00:00"/>
    <d v="1899-12-30T00:00:00"/>
    <d v="1899-12-30T00:00:00"/>
    <n v="216"/>
    <s v="Reta, Felix [C]"/>
    <m/>
  </r>
  <r>
    <x v="10"/>
    <m/>
    <s v="505971 Assurant Meet with April on Friday 4.15"/>
    <x v="11"/>
    <d v="2022-04-19T00:00:00"/>
    <d v="1899-12-30T00:00:00"/>
    <d v="1899-12-30T00:00:00"/>
    <n v="96"/>
    <s v="Reta, Felix [C]"/>
    <m/>
  </r>
  <r>
    <x v="1"/>
    <m/>
    <s v="505845 Confirm with client that space and visibility to AQM servers is in place for all 3 environments"/>
    <x v="39"/>
    <d v="2022-04-22T00:00:00"/>
    <d v="1899-12-30T00:00:00"/>
    <d v="1899-12-30T00:00:00"/>
    <n v="48"/>
    <s v="Reta, Felix [C]"/>
    <m/>
  </r>
  <r>
    <x v="1"/>
    <m/>
    <s v="505845 Schedule internal briefing chat with @April, @Steve, @Dan with assigned IC"/>
    <x v="39"/>
    <d v="2022-04-22T00:00:00"/>
    <d v="1899-12-30T00:00:00"/>
    <d v="1899-12-30T00:00:00"/>
    <n v="48"/>
    <s v="Reta, Felix [C]"/>
    <m/>
  </r>
  <r>
    <x v="0"/>
    <m/>
    <s v="4/21/2022 Order file media WFM 21.1"/>
    <x v="12"/>
    <d v="2022-04-22T00:00:00"/>
    <d v="1899-12-30T00:00:00"/>
    <d v="1899-12-30T00:00:00"/>
    <n v="0"/>
    <s v="Reta, Felix [C]"/>
    <m/>
  </r>
  <r>
    <x v="12"/>
    <m/>
    <s v="505978 Rushmore Projected Go_Live Date↑"/>
    <x v="46"/>
    <d v="4501-01-01T00:00:00"/>
    <d v="1899-12-30T00:00:00"/>
    <d v="1899-12-30T00:00:00"/>
    <n v="21727560"/>
    <s v="Reta, Felix [C]"/>
    <m/>
  </r>
  <r>
    <x v="1"/>
    <m/>
    <s v="505845 CR002 Sales Booking process started"/>
    <x v="46"/>
    <d v="4501-01-01T00:00:00"/>
    <d v="1899-12-30T00:00:00"/>
    <d v="1899-12-30T00:00:00"/>
    <n v="21727560"/>
    <s v="Reta, Felix [C]"/>
    <m/>
  </r>
  <r>
    <x v="14"/>
    <m/>
    <s v="505967 For kickoff Daniel Wood"/>
    <x v="1"/>
    <d v="2022-04-29T00:00:00"/>
    <d v="1899-12-30T00:00:00"/>
    <d v="1899-12-30T00:00:00"/>
    <n v="48"/>
    <s v="Reta, Felix [C]"/>
    <m/>
  </r>
  <r>
    <x v="1"/>
    <m/>
    <s v="Draft CR003 505845"/>
    <x v="42"/>
    <d v="4501-01-01T00:00:00"/>
    <d v="1899-12-30T00:00:00"/>
    <d v="1899-12-30T00:00:00"/>
    <n v="21727656"/>
    <s v="Reta, Felix [C]"/>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x v="0"/>
    <s v="Holiday"/>
    <s v="Administrative Professionals Day"/>
    <x v="0"/>
    <d v="2022-04-28T00:00:00"/>
    <d v="1899-12-30T00:00:00"/>
    <d v="1899-12-30T00:00:00"/>
    <n v="24"/>
    <m/>
  </r>
  <r>
    <x v="1"/>
    <s v="Internet"/>
    <s v="BAC Transition for 505845 -Credit Acceptance Corp. - WFM/APM and AQM Upgrade to V21"/>
    <x v="1"/>
    <d v="2022-04-22T00:00:00"/>
    <d v="1899-12-30T14:00:00"/>
    <d v="1899-12-30T14:30:00"/>
    <n v="0.5"/>
    <s v="Reta, Felix [C], Shanoob, Muhammed, Bock, April [C], April Bock, felix.reta@gmail.com"/>
  </r>
  <r>
    <x v="0"/>
    <s v="Internet"/>
    <s v="Comments on feedback."/>
    <x v="1"/>
    <d v="2022-04-22T00:00:00"/>
    <d v="1899-12-30T14:30:00"/>
    <d v="1899-12-30T15:00:00"/>
    <n v="0.5"/>
    <s v="Reta, Felix [C], April Bock, Bock, April [C], felix.reta@gmail.com"/>
  </r>
  <r>
    <x v="0"/>
    <s v="Internet"/>
    <s v="nirmal ewfm review wfo"/>
    <x v="1"/>
    <d v="2022-04-22T00:00:00"/>
    <d v="1899-12-30T15:00:00"/>
    <d v="1899-12-30T15:30:00"/>
    <n v="0.5"/>
    <s v="Melinda I Memoli, Mishra, Nirmal, Reta, Felix [C]"/>
  </r>
  <r>
    <x v="1"/>
    <s v="Internet"/>
    <s v="CAC QA stereo configuration [505845]"/>
    <x v="1"/>
    <d v="2022-04-22T00:00:00"/>
    <d v="1899-12-30T17:30:00"/>
    <d v="1899-12-30T19:00:00"/>
    <n v="1.5"/>
    <s v="Reta, Felix [C], Bock, April [C], Pyase1, Bhagat, John Wafel, James Moore, Beal, Steve"/>
  </r>
  <r>
    <x v="0"/>
    <s v="Internet"/>
    <s v="AQM WFM Upgrade work session"/>
    <x v="2"/>
    <d v="2022-04-25T00:00:00"/>
    <d v="1899-12-30T14:00:00"/>
    <d v="1899-12-30T14:30:00"/>
    <n v="0.5"/>
    <s v="Robert Hickey, Scott Korte, Bock, April [C], Reta, Felix [C], Srinivas, Aswath, James Moore"/>
  </r>
  <r>
    <x v="0"/>
    <s v="Internet"/>
    <s v="Managed Services/Private Cloud CAB CR Review"/>
    <x v="3"/>
    <d v="2022-04-26T00:00:00"/>
    <d v="1899-12-30T09:00:00"/>
    <d v="1899-12-30T09:30:00"/>
    <n v="0.5"/>
    <s v="Change Management, APS.AMER-PM-ALL, CAB - Hosted_MS, Newman, Randy, Goldstein, Jeffrey, Kumar, Narendra, Texter, Jim, Wise, Angela Joyce, Jefferson, John, Owens, Michael, Boughner, Randall, Scoot, Howard, Moore, Chris, Singh, Ashish, Taylor, Darryl, Durrough, Lenny, Pacheco, Henry, Neild, Robert, Serrano, Michelle, Schlinsog, Jason, Subbarayan, Saravanan, Smith, Rodney, Riley, MaryEllen, Jensen, John, Zuckerman, Dan, Sundararajan, Senthil, Chandorkar, Sujay, Lewandowski, Kimberly, Jones, Brian, Stewart, Kim"/>
  </r>
  <r>
    <x v="0"/>
    <s v="Internet"/>
    <s v="Public Cloud CAB CR Review"/>
    <x v="3"/>
    <d v="2022-04-26T00:00:00"/>
    <d v="1899-12-30T09:30:00"/>
    <d v="1899-12-30T10:00:00"/>
    <n v="0.5"/>
    <s v="Change Management, APS.AMER-PM-ALL, CAB - Cloud, Boughner, Randall, Owens, Michael, Texter, Jim, Scoot, Howard, Kumar, Narendra, Jefferson, John, Neild, Robert, Singh, Ashish, Rosario, Colin, Durrough, Lenny, Pacheco, Henry, Serrano, Michelle, Schlinsog, Jason, Subbarayan, Saravanan, Smith, Rodney, Goldstein, Jeffrey, Owen, Martin, Riley, MaryEllen, Lewandowski, Kimberly, Chandorkar, Sujay, Jones, Brian, Stewart, Kim"/>
  </r>
  <r>
    <x v="0"/>
    <s v="Internet"/>
    <s v="Alvaria Cloud CAB CR Review"/>
    <x v="3"/>
    <d v="2022-04-26T00:00:00"/>
    <d v="1899-12-30T10:00:00"/>
    <d v="1899-12-30T11:00:00"/>
    <n v="1"/>
    <s v="Change Management, APS.AMER-PM-ALL, CAB - Via, Jefferson, John, Lilic, Rusmin, Boughner, Randall, Kelly, Jarlath, Norton, David, Singh, Ashish, Wiegard, Hanno, Scoot, Howard, Durrough, Lenny, Murphy, Kealan, Ramadas, Ravishankara, Boring, Scott, Pacheco, Henry, McDonnell, Jon, Kumar, Narendra, Serrano, Michelle, Grigorian, Anna, Texter, Jim, Schlinsog, Jason, Crapps, MaryEllen [C], Subbarayan, Saravanan, Goldstein, Jeffrey, Smith, Rodney, Riley, MaryEllen, Beasley, Michael, Zuckerman, Dan, Kaleski, Mike, Craemer, Alex, Riemann, Mark, Jeffery, Richard, Chandorkar, Sujay, Lewandowski, Kimberly, Mauelshagen, Martin, Harper, Paul, Rai, Rohit, Jones, Brian, Stewart, Kim"/>
  </r>
  <r>
    <x v="2"/>
    <s v="Internet"/>
    <s v="Weekly status meeting for 505936 -Synnex - Dell - Accenture - WFM Upgrade V19- V21.1"/>
    <x v="3"/>
    <d v="2022-04-26T00:00:00"/>
    <d v="1899-12-30T10:00:00"/>
    <d v="1899-12-30T10:30:00"/>
    <n v="0.5"/>
    <s v="Reta, Felix [C], Mishra, Nirmal, Anil Kunnanthody, Upton, Dan, Jonathan Renz Pacuribot, Russell j i Baello, Renier M Forio, Kumar, Pankaj, felix.reta@gmail.com"/>
  </r>
  <r>
    <x v="0"/>
    <s v="Internet"/>
    <s v="Change request disposition, mentoring."/>
    <x v="3"/>
    <d v="2022-04-26T00:00:00"/>
    <d v="1899-12-30T12:30:00"/>
    <d v="1899-12-30T13:00:00"/>
    <n v="0.5"/>
    <s v="Reta, Felix [C], Sullivan, Jan, Trost, Lou Ann [C], Sharif, Roshan [C]"/>
  </r>
  <r>
    <x v="1"/>
    <s v="Internet"/>
    <s v="Weekly Status Meeting - WFM &amp; AQM Upgrade 505845 -CAC"/>
    <x v="3"/>
    <d v="2022-04-26T00:00:00"/>
    <d v="1899-12-30T14:00:00"/>
    <d v="1899-12-30T14:30:00"/>
    <n v="0.5"/>
    <s v="Reta, Felix [C], Robert Hickey, James Moore, Scott Korte, Jon Harris, Bock, April [C], Chris Moore, Runyon, Michael, Hudson, Robert, april.bock@waterfield.com, Srinivas, Aswath, Hutcherson, Deborah [C], Shanoob, Muhammed"/>
  </r>
  <r>
    <x v="0"/>
    <s v="Internet"/>
    <s v="Assurant APEA"/>
    <x v="0"/>
    <d v="2022-04-27T00:00:00"/>
    <d v="1899-12-30T09:30:00"/>
    <d v="1899-12-30T10:00:00"/>
    <n v="0.5"/>
    <s v="Hudson, Robert, Reta, Felix [C], Bock, April [C], Srinivasan, Goutham"/>
  </r>
  <r>
    <x v="3"/>
    <s v="Internet"/>
    <s v="505967 JetBlue - PS, Secure Agent S2I meeting"/>
    <x v="0"/>
    <d v="2022-04-27T00:00:00"/>
    <d v="1899-12-30T11:00:00"/>
    <d v="1899-12-30T11:30:00"/>
    <n v="0.5"/>
    <s v="Reta, Felix [C], Alla, Prabhakar, Johnson, Austin, felix.reta@gmail.com"/>
  </r>
  <r>
    <x v="0"/>
    <s v="Internet"/>
    <s v="CCI - Weekly Project Checkpoint"/>
    <x v="0"/>
    <d v="2022-04-27T00:00:00"/>
    <d v="1899-12-30T12:00:00"/>
    <d v="1899-12-30T12:30:00"/>
    <n v="0.5"/>
    <s v="Schepis, Roman, Reta, Felix [C], Lomakin, Roman, Gopalakrishnan, Amitha, Gravel, Martin, Nadgir, Sachin, Pederson, Luke, Culver, Brent, Biggs, Tumoyia, Jim Henderson, Mark Coleman, Helms, Marty, Benjamin Boney, Aaron Lang, Tad Mason, Jeff Felton, Adam Davids, Raymon Bickell, Lee Mcdonald, Srinivasan, Goutham, Simon, Francis, Conrad Palmer, Ryan Neal, Deborah Bond, Zuckerman, Dan, Kapoor, Tanu, Bobby Manning, michael.malerich@consumercellular.com, Lawson, Shawn, Terry Sumner, James, Eric"/>
  </r>
  <r>
    <x v="0"/>
    <s v="Internet"/>
    <s v="CAC Stuff"/>
    <x v="0"/>
    <d v="2022-04-27T00:00:00"/>
    <d v="1899-12-30T12:30:00"/>
    <d v="1899-12-30T13:00:00"/>
    <n v="0.5"/>
    <s v="Bock, April [C], Reta, Felix [C]"/>
  </r>
  <r>
    <x v="0"/>
    <s v="Internet"/>
    <s v="AQM Cert"/>
    <x v="0"/>
    <d v="2022-04-27T00:00:00"/>
    <d v="1899-12-30T14:30:00"/>
    <d v="1899-12-30T15:30:00"/>
    <n v="1"/>
    <s v="Burgess, Silvia C (Pronouns: she/her/hers), Murugaiyan, Vijayasankar, Loesch, Martin (Pronouns: he/him/his), Reta, Felix [C], Chadalavada, Ajay"/>
  </r>
  <r>
    <x v="0"/>
    <s v="Internet"/>
    <s v="AQM Certificate Installation"/>
    <x v="0"/>
    <d v="2022-04-27T00:00:00"/>
    <d v="1899-12-30T20:00:00"/>
    <d v="1899-12-30T21:00:00"/>
    <n v="1"/>
    <s v="Rafael Davila, Reta, Felix [C], Srinivasan, Goutham, Christopher Brown, Marlon De Joya, Pablo Ikehara"/>
  </r>
  <r>
    <x v="0"/>
    <s v="Internet"/>
    <s v="Emergency/Overflow CAB CR Review"/>
    <x v="4"/>
    <d v="2022-04-28T00:00:00"/>
    <d v="1899-12-30T10:00:00"/>
    <d v="1899-12-30T11:00:00"/>
    <n v="1"/>
    <s v="Change Management, CAB - Hosted_MS, CAB - Cloud, CAB - Via, Jefferson, John, Kelly, Jarlath, Blackwell, John, Newman, Randy, Staten, Jonathan, Murphy, Kealan, Moore, Chris, Wiegard, Hanno, Durrough, Lenny, Singh, Ashish, Scoot, Howard, Boughner, Randall, Boring, Scott, Norton, David, Pacheco, Henry, McDonnell, Jon, Kumar, Narendra, Piatt, Gregg, Grigorian, Anna, Serrano, Michelle, Texter, Jim, Olszewski, Tracey, Subbarayan, Saravanan, Casillas, Alex, Crapps, MaryEllen [C], Smith, Rodney, Owen, Martin, Riley, MaryEllen, Goldstein, Jeffrey, Harper, Paul, Beasley, Michael, Jensen, John, Zuckerman, Dan, Kaleski, Mike, Craemer, Alex, Sundararajan, Senthil, Riemann, Mark, Jeffery, Richard, Lewandowski, Kimberly, Chandorkar, Sujay, Ramadas, Ravishankara, Neild, Robert, Stewart, Kim, Rai, Rohit, APS.AMER-PM-ALL, Ammundsen, Diane [C], Rosario, Colin, Anderson, Jeff, Sharif, Roshan [C], Hamri, Hassan, Reta, Felix [C], Wieler, Beth, Holloway, Marcus, Rhodes, Jason, Sullivan, Jan, Halliwell, John, Donadeo, Chris, Carabbio, Joe, Jones, Brian, Raj, Arun, Kotturesha, Kuldeep, Russell, John, Trost, Lou Ann [C], Fingers, Harvie, Torres, Jaciel, Borts, Michael, Kumar, Santhosh, Bohan, Ciaran, Greene, Charles, Podlogar, Dan, Barnes, Lloyd, Human, Neal, Taylor, Darryl, Janes, Robert, Parker, Brian, Hartley, Karen, Allan, Craig, Kumar, Sudheer, Huang, Cody, Mahalingam, Karan, Jenkins, Huw, Ojha, Vishal, Palimar, Shravan, Springs, Vanessa, Reznikova, Ana, Berry, Andrew [C], Lilic, Rusmin, Bennett, Sean, Bunten, Paul, Mauelshagen, Martin"/>
  </r>
  <r>
    <x v="0"/>
    <s v="Internet"/>
    <s v="PRJ Upgrade AQM-WFM - Review schedule with Alvaria"/>
    <x v="4"/>
    <d v="2022-04-28T00:00:00"/>
    <d v="1899-12-30T14:30:00"/>
    <d v="1899-12-30T14:55:00"/>
    <n v="0.41666666666666669"/>
    <s v="Robert Hickey, James Moore, Scott Korte, Jon Harris, Reta, Felix [C]"/>
  </r>
  <r>
    <x v="4"/>
    <s v="Internet"/>
    <s v="RE: 505971 Assurant - Full Reinstall - PS only"/>
    <x v="4"/>
    <d v="2022-04-28T00:00:00"/>
    <d v="1899-12-30T15:30:00"/>
    <d v="1899-12-30T16:00:00"/>
    <n v="0.5"/>
    <s v="Reta, Felix [C], Mishra, Nirmal, Bock, April [C], Russell Hemmelgarn, Srinivasan, Goutham, Hudson, Robert, felix.reta@gmail.com, Kumar, Pankaj"/>
  </r>
  <r>
    <x v="0"/>
    <s v="Internet"/>
    <s v="JetBlue Schedule Review"/>
    <x v="5"/>
    <d v="2022-04-29T00:00:00"/>
    <d v="1899-12-30T11:00:00"/>
    <d v="1899-12-30T11:30:00"/>
    <n v="0.5"/>
    <s v="Giles, Timothy, Reta, Felix [C]"/>
  </r>
  <r>
    <x v="0"/>
    <s v="Internet"/>
    <s v="CCI WEM upgrade (internal)"/>
    <x v="5"/>
    <d v="2022-04-29T00:00:00"/>
    <d v="1899-12-30T11:30:00"/>
    <d v="1899-12-30T12:00:00"/>
    <n v="0.5"/>
    <s v="Zuckerman, Dan, Schepis, Roman, Cornell, Andrew, Cox, Courtney, Nadgir, Sachin, Reta, Felix [C]"/>
  </r>
  <r>
    <x v="0"/>
    <s v="Internet"/>
    <s v="Synnex-Dell-Accenture- WFM Upgrade V19- V21.1 || APEA"/>
    <x v="5"/>
    <d v="2022-04-29T00:00:00"/>
    <d v="1899-12-30T12:10:00"/>
    <d v="1899-12-30T13:10:00"/>
    <n v="1"/>
    <s v="Nirmal Mishra, Reta, Felix [C]"/>
  </r>
  <r>
    <x v="0"/>
    <s v="Manager"/>
    <s v="ICBC Weekly Project Status Meeting"/>
    <x v="3"/>
    <d v="2022-04-26T00:00:00"/>
    <d v="1899-12-30T14:30:00"/>
    <d v="1899-12-30T15:00:00"/>
    <n v="0.5"/>
    <s v="Sullivan, Jan, Bock, April [C], 'Wagner, Christie', Kapur, Sakshay, Reta, Felix [C], Sharif, Roshan [C], Trost, Lou Ann [C], Kumar, Pankaj, Srinivasa, Ananya, Achar, Roshan, Nayak, Garima, Prasad, Karthik, Upton, Dan, Shete, Abhijit, Springs, Vanessa, 'felix.reta@gmail.com', Felix Reta, April Bock"/>
  </r>
  <r>
    <x v="0"/>
    <s v="Manager"/>
    <s v="Best Egg Weekly Project Status Meeting"/>
    <x v="5"/>
    <d v="2022-04-29T00:00:00"/>
    <d v="1899-12-30T15:00:00"/>
    <d v="1899-12-30T15:30:00"/>
    <n v="0.5"/>
    <s v="Sullivan, Jan, Lomakin, Roman, Simon, Francis, Nadgir, Sachin, Lamberth, Colin, Ramadas, Ravishankara, Norman Hutchinson, Matt Murphy, Kenneth Johnston, Paul Gimbutas, Das, Shounak, Epling, Darin, Shete, Abhijit, Reta, Felix [C], Sharif, Roshan [C], Trost, Lou Ann [C]"/>
  </r>
  <r>
    <x v="5"/>
    <s v="Projects, Internet"/>
    <s v="Weekly Project Status Meeting JetBlue/Alvaria [505563]"/>
    <x v="0"/>
    <d v="2022-04-27T00:00:00"/>
    <d v="1899-12-30T16:00:00"/>
    <d v="1899-12-30T16:30:00"/>
    <n v="0.5"/>
    <s v="Giles, Timothy, Reta, Felix [C], Hutcherson, Deborah [C], Lomakin, Roman, Ward, Mary, Bodrero, Brenda, Anderson, Amy, Paul, Michael, Gardner, Dee Dee, Wood, Daniel"/>
  </r>
  <r>
    <x v="0"/>
    <s v="Purple Category"/>
    <s v="Lunch"/>
    <x v="1"/>
    <d v="2022-04-22T00:00:00"/>
    <d v="1899-12-30T13:00:00"/>
    <d v="1899-12-30T14:00:00"/>
    <n v="1"/>
    <m/>
  </r>
  <r>
    <x v="0"/>
    <s v="Purple Category"/>
    <s v="Lunch"/>
    <x v="2"/>
    <d v="2022-04-25T00:00:00"/>
    <d v="1899-12-30T13:00:00"/>
    <d v="1899-12-30T14:00:00"/>
    <n v="1"/>
    <m/>
  </r>
  <r>
    <x v="0"/>
    <s v="Purple Category"/>
    <s v="Lunch"/>
    <x v="3"/>
    <d v="2022-04-26T00:00:00"/>
    <d v="1899-12-30T13:00:00"/>
    <d v="1899-12-30T14:00:00"/>
    <n v="1"/>
    <m/>
  </r>
  <r>
    <x v="0"/>
    <s v="Purple Category"/>
    <s v="Lunch"/>
    <x v="0"/>
    <d v="2022-04-27T00:00:00"/>
    <d v="1899-12-30T13:00:00"/>
    <d v="1899-12-30T14:00:00"/>
    <n v="1"/>
    <m/>
  </r>
  <r>
    <x v="0"/>
    <s v="Purple Category"/>
    <s v="Lunch"/>
    <x v="4"/>
    <d v="2022-04-28T00:00:00"/>
    <d v="1899-12-30T13:00:00"/>
    <d v="1899-12-30T14:00:00"/>
    <n v="1"/>
    <m/>
  </r>
  <r>
    <x v="0"/>
    <s v="Purple Category"/>
    <s v="Lunch"/>
    <x v="5"/>
    <d v="2022-04-29T00:00:00"/>
    <d v="1899-12-30T13:00:00"/>
    <d v="1899-12-30T14:00:00"/>
    <n v="1"/>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r>
    <x v="6"/>
    <m/>
    <m/>
    <x v="6"/>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9">
  <r>
    <s v="505909 M&amp;T"/>
    <s v="RE: SSL Cerfificate installations for M&amp;T Development UIP system and AQM systems"/>
    <x v="0"/>
    <s v="Obley, Deborah [contractor]"/>
    <s v="Hello Alvaria team,_x000d_"/>
    <x v="0"/>
    <s v="Folder email"/>
  </r>
  <r>
    <s v="505909 M&amp;T"/>
    <s v="RE: SSL Cerfificate installations for M&amp;T Development UIP system and AQM systems"/>
    <x v="1"/>
    <s v="Johnson, Austin"/>
    <s v="Hello Deb,_x000d__x000a__x000d__x000a_ _x000d__x000a__x000d__x000a_W"/>
    <x v="0"/>
    <s v="Folder email"/>
  </r>
  <r>
    <s v="505909 M&amp;T"/>
    <s v="FW: SSL Cerfificate installations for M&amp;T Development UIP system and AQM systems"/>
    <x v="2"/>
    <s v="Reta, Felix [C]"/>
    <s v="Further to our conve"/>
    <x v="0"/>
    <s v="Folder email"/>
  </r>
  <r>
    <s v="505909 M&amp;T"/>
    <s v="RE: SSL Cerfificate installations for M&amp;T Development UIP system and AQM systems"/>
    <x v="3"/>
    <s v="Johnson, Austin"/>
    <s v="Hi Deb,_x000d__x000a__x000d__x000a_ _x000d__x000a__x000d__x000a_We n"/>
    <x v="0"/>
    <s v="Folder email"/>
  </r>
  <r>
    <s v="505909 M&amp;T"/>
    <s v="FW: SSL Cerfificate installations for M&amp;T Development UIP system and AQM systems"/>
    <x v="4"/>
    <s v="Hottum, Linda"/>
    <s v="Hi Austin.. _x000d__x000a__x000d__x000a_Coul"/>
    <x v="0"/>
    <s v="Folder email"/>
  </r>
  <r>
    <s v="505921 PNC"/>
    <s v="Closing 505921 PNC Bank - PS, ACD Historical and RTA Feeds to WFM"/>
    <x v="5"/>
    <s v="Reta, Felix [C]"/>
    <s v="Good morning Jason,_x000d_"/>
    <x v="1"/>
    <s v="Folder email"/>
  </r>
  <r>
    <s v="505921 PNC"/>
    <s v="RE: Closing 505921 PNC Bank - PS, ACD Historical and RTA Feeds to WFM"/>
    <x v="6"/>
    <s v="Schlinsog, Jason"/>
    <s v="Thanks Felix, this h"/>
    <x v="1"/>
    <s v="Folder email"/>
  </r>
  <r>
    <s v="505845 CAC Credit Acc"/>
    <s v="RE: CAC - WFM Data Discrepancies"/>
    <x v="7"/>
    <s v="Bock, April [C]"/>
    <s v="Since Friday would h"/>
    <x v="2"/>
    <s v="Folder email"/>
  </r>
  <r>
    <s v="505845 CAC Credit Acc"/>
    <s v="RE: CAC - WFM Data Discrepancies"/>
    <x v="8"/>
    <s v="Srinivas, Aswath"/>
    <s v="HI James _x000d__x000a__x000d__x000a_Hope no"/>
    <x v="2"/>
    <s v="Folder email"/>
  </r>
  <r>
    <s v="505845 CAC Credit Acc"/>
    <s v="RE: WFM 21 Dev [505845 -Credit Acceptance Corp. - WFM/APM and AQM Upgrade to V21]"/>
    <x v="9"/>
    <s v="James Moore"/>
    <s v=" _x000d__x000a__x000d__x000a_ _x000d__x000a__x000d__x000a_James Moor"/>
    <x v="2"/>
    <s v="Folder email"/>
  </r>
  <r>
    <s v="505845 CAC Credit Acc"/>
    <s v="RE: Change Request. WFM 21 Dev [505845 -Credit Acceptance Corp. - WFM/APM and AQM Upgrade to V21]"/>
    <x v="10"/>
    <s v="Reta, Felix [C]"/>
    <s v="Here it is._x000d__x000a__x000d__x000a_ _x000d__x000a__x000d__x000a_"/>
    <x v="2"/>
    <s v="Folder email"/>
  </r>
  <r>
    <s v="505845 CAC Credit Acc"/>
    <s v="RE: Weekly Status Meeting - WFM &amp; AQM Upgrade 505845 -CAC"/>
    <x v="11"/>
    <s v="Srinivas, Aswath"/>
    <s v="HI James _x000d__x000a__x000d__x000a_I am do"/>
    <x v="2"/>
    <s v="Folder email"/>
  </r>
  <r>
    <s v="505845 CAC Credit Acc"/>
    <s v="505845 -Credit Acceptance Corp. - WFM/APM and AQM Upgrade to V21 Daily Update "/>
    <x v="12"/>
    <s v="Srinivas, Aswath"/>
    <s v="Hi Felix _x000d__x000a__x000d__x000a_Please "/>
    <x v="2"/>
    <s v="Folder email"/>
  </r>
  <r>
    <s v="505845 CAC Credit Acc"/>
    <s v="RE: Weekly Status Meeting - WFM &amp; AQM Upgrade 505845 -CAC"/>
    <x v="13"/>
    <s v="James Moore"/>
    <s v="Good call. I took th"/>
    <x v="2"/>
    <s v="Folder email"/>
  </r>
  <r>
    <s v="505845 CAC Credit Acc"/>
    <s v="RE: Weekly Status Meeting - WFM &amp; AQM Upgrade 505845 -CAC"/>
    <x v="14"/>
    <s v="James Moore"/>
    <s v="I am signing off, bu"/>
    <x v="2"/>
    <s v="Folder email"/>
  </r>
  <r>
    <s v="505845 CAC Credit Acc"/>
    <s v="RE: CR Tracker URL - RE: WBS Template Attached - RE: Trost, Lou Ann [C] shared &quot;Project Change Request Guide&quot; with you."/>
    <x v="15"/>
    <s v="Schlinsog, Jason"/>
    <s v="This has been added "/>
    <x v="2"/>
    <s v="Folder email"/>
  </r>
  <r>
    <s v="505845 CAC Credit Acc"/>
    <s v="RE: WFM Dev Services stopped"/>
    <x v="16"/>
    <s v="Srinivas, Aswath"/>
    <s v="HI James _x000d__x000a__x000d__x000a_Yes you"/>
    <x v="2"/>
    <s v="Folder email"/>
  </r>
  <r>
    <s v="505936 Accenture Dell"/>
    <s v="Synnex-Dell-Accenture- WFM Upgrade V19- V21.1 || APEA"/>
    <x v="17"/>
    <s v="Mishra, Nirmal"/>
    <s v="Hello Jonathan,_x000d__x000a__x000d__x000a_ "/>
    <x v="3"/>
    <s v="Folder email"/>
  </r>
  <r>
    <s v="505936 Accenture Dell"/>
    <s v="RE: Synnex-Dell-Accenture- WFM Upgrade V19- V21.1 || APEA"/>
    <x v="18"/>
    <s v="Mishra, Nirmal"/>
    <s v="Hello Jonathan,_x000d__x000a__x000d__x000a_ "/>
    <x v="3"/>
    <s v="Folder email"/>
  </r>
  <r>
    <s v="505936 Accenture Dell"/>
    <s v="RE: Synnex-Dell-Accenture- WFM Upgrade V19- V21.1 || Server Audit"/>
    <x v="19"/>
    <s v="Pacuribot, Jonathan Renz"/>
    <s v="WARNING: This email "/>
    <x v="3"/>
    <s v="Folder email"/>
  </r>
  <r>
    <s v="505936 Accenture Dell"/>
    <s v="RE: Synnex-Dell-Accenture- WFM Upgrade V19- V21.1 || APEA"/>
    <x v="20"/>
    <s v="Pacuribot, Jonathan Renz"/>
    <s v="WARNING: This email "/>
    <x v="3"/>
    <s v="Folder email"/>
  </r>
  <r>
    <s v="505936 Accenture Dell"/>
    <s v="RE: Synnex-Dell-Accenture- WFM Upgrade V19- V21.1 || APEA"/>
    <x v="21"/>
    <s v="Pacuribot, Jonathan Renz"/>
    <s v="WARNING: This email "/>
    <x v="3"/>
    <s v="Folder email"/>
  </r>
  <r>
    <s v="505936 Accenture Dell"/>
    <s v="RE: Synnex-Dell-Accenture- WFM Upgrade V19- V21.1 || APEA"/>
    <x v="22"/>
    <s v="Mishra, Nirmal"/>
    <s v="Hello Jonathan,_x000d__x000a__x000d__x000a_ "/>
    <x v="3"/>
    <s v="Folder email"/>
  </r>
  <r>
    <s v="505936 Accenture Dell"/>
    <s v="RE: Synnex-Dell-Accenture- WFM Upgrade V19- V21.1 || APEA"/>
    <x v="23"/>
    <s v="Pacuribot, Jonathan Renz"/>
    <s v="WARNING: This email "/>
    <x v="3"/>
    <s v="Folder email"/>
  </r>
  <r>
    <s v="505971 Assurant"/>
    <s v="RE: 505971 Assurant - Full Reinstall - PS only"/>
    <x v="24"/>
    <s v="Melinda I Memoli"/>
    <s v="WARNING: This email "/>
    <x v="4"/>
    <s v="Folder email"/>
  </r>
  <r>
    <s v="505967 JetBlue - PS-Secure Agent"/>
    <s v="RE: 505967 JetBlue - PS - Secure Agent"/>
    <x v="25"/>
    <s v="Gardner, Dee Dee"/>
    <s v="Hi Felix,_x000d__x000a__x000d__x000a_ _x000d__x000a__x000d__x000a_Gr"/>
    <x v="5"/>
    <s v="Folder email"/>
  </r>
  <r>
    <s v="505978 Rushmore New AQM Server "/>
    <s v="RE: 505978 Rushmore - New AQM Server CERTS [EXTERNAL]"/>
    <x v="26"/>
    <s v="Rafael Davila"/>
    <s v="WARNING: This email "/>
    <x v="6"/>
    <s v="Folder email"/>
  </r>
  <r>
    <s v="505978 Rushmore New AQM Server "/>
    <s v="RE: 505978 Rushmore - New AQM Server CERTS [EXTERNAL]"/>
    <x v="27"/>
    <s v="Srinivasan, Goutham"/>
    <s v="Yes, Rafael. You wou"/>
    <x v="6"/>
    <s v="Folder email"/>
  </r>
  <r>
    <s v="505978 Rushmore New AQM Server "/>
    <s v="RE: 505978 Rushmore - New AQM Server CERTS [EXTERNAL]"/>
    <x v="28"/>
    <s v="Rafael Davila"/>
    <s v="WARNING: This email "/>
    <x v="6"/>
    <s v="Folder email"/>
  </r>
  <r>
    <s v="505978 Rushmore New AQM Server "/>
    <s v="RE: 505978 Rushmore - New AQM Server CERTS [EXTERNAL]"/>
    <x v="29"/>
    <s v="Rafael Davila"/>
    <s v="WARNING: This email "/>
    <x v="6"/>
    <s v="Folder email"/>
  </r>
  <r>
    <s v="505978 Rushmore New AQM Server "/>
    <s v="RE: 505978 Rushmore - New AQM Server [EXTERNAL]"/>
    <x v="30"/>
    <s v="David Alexander"/>
    <s v="WARNING: This email "/>
    <x v="6"/>
    <s v="Folder email"/>
  </r>
  <r>
    <s v="505978 Rushmore New AQM Server "/>
    <s v="RE: 505978 Rushmore - New AQM Server"/>
    <x v="31"/>
    <s v="Schlinsog, Jason"/>
    <s v="I checked with the t"/>
    <x v="6"/>
    <s v="Folder email"/>
  </r>
  <r>
    <s v="505978 Rushmore New AQM Server "/>
    <s v="RE: 505978 Rushmore - New AQM Server CERTS [EXTERNAL]"/>
    <x v="32"/>
    <s v="Srinivasan, Goutham"/>
    <s v="Hi All,_x000d__x000a__x000d__x000a_ _x000d__x000a__x000d__x000a_I’m "/>
    <x v="6"/>
    <s v="Folder email"/>
  </r>
  <r>
    <s v="505978 Rushmore New AQM Server "/>
    <s v="Goutham sent a message"/>
    <x v="33"/>
    <s v="Srinivasan, Goutham in Teams"/>
    <s v="Still 1 concern, old"/>
    <x v="6"/>
    <s v="Folder email"/>
  </r>
  <r>
    <s v="505978 Rushmore New AQM Server "/>
    <s v="RE: 505978 Rushmore - New AQM Server CERTS [EXTERNAL]"/>
    <x v="34"/>
    <s v="Rafael Davila"/>
    <s v="WARNING: This email "/>
    <x v="6"/>
    <s v="Folder email"/>
  </r>
  <r>
    <s v="505978 Rushmore New AQM Server "/>
    <s v="RE: 505978 Rushmore - New AQM Server CERTS [EXTERNAL]"/>
    <x v="35"/>
    <s v="Srinivasan, Goutham"/>
    <s v="Could you please che"/>
    <x v="6"/>
    <s v="Folder email"/>
  </r>
  <r>
    <s v="505978 Rushmore New AQM Server "/>
    <s v="RE: 505978 Rushmore - New AQM Server CERTS [EXTERNAL]"/>
    <x v="36"/>
    <s v="David Alexander"/>
    <s v="WARNING: This email "/>
    <x v="6"/>
    <s v="Folder email"/>
  </r>
  <r>
    <s v="505978 Rushmore New AQM Server "/>
    <s v="RE: 505978 Rushmore - New AQM Server CERTS [EXTERNAL]"/>
    <x v="37"/>
    <s v="Reta, Felix [C]"/>
    <s v="Goutham just confirm"/>
    <x v="6"/>
    <s v="Folder email"/>
  </r>
  <r>
    <s v="505978 Rushmore New AQM Server "/>
    <s v="FW: R.A.: Reta, Felix #396117 PA#: 505978, 19684 Rushmore Loan Management Services Llc, Srinivasan, Goutham"/>
    <x v="38"/>
    <s v="Project Office NA"/>
    <s v="Goutham has been ass"/>
    <x v="6"/>
    <s v="Folder email"/>
  </r>
  <r>
    <s v="505978 Rushmore New AQM Server "/>
    <s v="Resource Allocation Approved (Resource: Srinivasan, Goutham)"/>
    <x v="39"/>
    <s v="Singhal, Anukul (Anukul.Singhal@Alvaria.com)"/>
    <s v=" &lt;http://click.netsu"/>
    <x v="6"/>
    <s v="Folder email"/>
  </r>
  <r>
    <s v="505978 Rushmore New AQM Server "/>
    <s v="Goutham sent a message"/>
    <x v="40"/>
    <s v="Srinivasan, Goutham in Teams"/>
    <s v="I have updated sales"/>
    <x v="6"/>
    <s v="Folder email"/>
  </r>
  <r>
    <s v="505742 Consumer Cellular - Via WFM Training Lab"/>
    <s v="Re: WEM Upgrade _  Consumer_Cellular"/>
    <x v="41"/>
    <s v="Schepis, Roman"/>
    <s v="+Felix_x000d__x000a__x000d__x000a_The Lab is"/>
    <x v="7"/>
    <s v="Folder email"/>
  </r>
  <r>
    <s v="505742 Consumer Cellular - Via WFM Training Lab"/>
    <s v="Re: WEM Upgrade _  Consumer_Cellular"/>
    <x v="42"/>
    <s v="Schepis, Roman"/>
    <s v="Great point Dan!_x000d__x000a__x000d__x000a_"/>
    <x v="7"/>
    <s v="Folder email"/>
  </r>
  <r>
    <s v="505742 Consumer Cellular - Via WFM Training Lab"/>
    <s v="Re: WEM Upgrade _  Consumer_Cellular"/>
    <x v="43"/>
    <s v="Nadgir, Sachin"/>
    <s v="Hi Dan,_x000d__x000a__x000d__x000a_ _x000d__x000a__x000d__x000a_We u"/>
    <x v="7"/>
    <s v="Folder email"/>
  </r>
  <r>
    <s v="505983 TD Bank"/>
    <s v="TD SOW and WBS "/>
    <x v="44"/>
    <s v="Chmel, Greg"/>
    <s v=" _x000d__x000a__x000d__x000a_Hi Felix,_x000d__x000a__x000d__x000a_ _x000d_"/>
    <x v="8"/>
    <s v="Folder email"/>
  </r>
  <r>
    <s v="505983 TD Bank"/>
    <s v="TD Bank Cert's - USAN resources"/>
    <x v="45"/>
    <s v="Schlinsog, Jason"/>
    <s v=" _x000d__x000a__x000d__x000a_Jonathan/Matthe"/>
    <x v="8"/>
    <s v="Folder email"/>
  </r>
  <r>
    <s v="505983 TD Bank"/>
    <s v="Re: TD Bank Cert's - USAN resources"/>
    <x v="46"/>
    <s v="Lisak, Jonathan"/>
    <s v="Hi Jason,_x000d__x000a__x000d__x000a_ _x000d__x000a__x000d__x000a_We"/>
    <x v="8"/>
    <s v="Folder email"/>
  </r>
  <r>
    <s v="505983 TD Bank"/>
    <s v="Re: TD Bank Cert's - USAN resources"/>
    <x v="47"/>
    <s v="Beal, Steve"/>
    <s v="Thanks..  here is th"/>
    <x v="8"/>
    <s v="Folder email"/>
  </r>
  <r>
    <s v="505983 TD Bank"/>
    <s v="Re: TD Bank Cert's - USAN resources"/>
    <x v="48"/>
    <s v="Reta, Felix [C]"/>
    <s v="Good morning,_x000d__x000a__x000d__x000a_ _x000d__x000a_"/>
    <x v="8"/>
    <s v="Folder email"/>
  </r>
  <r>
    <s v="505983 TD Bank"/>
    <s v="Automatic reply: TD Bank Cert's - USAN resources"/>
    <x v="49"/>
    <s v="Chmel, Greg"/>
    <s v="*** OUT OF OFFICE***"/>
    <x v="8"/>
    <s v="Folder email"/>
  </r>
  <r>
    <s v="505983 TD Bank"/>
    <s v="RE: TDA USAN Certs - CSRs  - Replacement - April 12, 2022 Expiration"/>
    <x v="50"/>
    <s v="Cushing, Barry"/>
    <s v="Hi Patrick,_x000d__x000a__x000d__x000a_ _x000d__x000a__x000d__x000a_"/>
    <x v="8"/>
    <s v="Folder email"/>
  </r>
  <r>
    <s v="505983 TD Bank"/>
    <s v="RE: 505983 TD Auto Finance - AQM Certs 2022"/>
    <x v="51"/>
    <s v="Patrick Nash"/>
    <s v="Yes – I have it.  Ki"/>
    <x v="8"/>
    <s v="Folder email"/>
  </r>
  <r>
    <s v="505983 TD Bank"/>
    <s v="TD Auto Certificate Installation"/>
    <x v="52"/>
    <s v="Patrick Nash"/>
    <s v="Our cert installer i"/>
    <x v="8"/>
    <s v="Folder email"/>
  </r>
  <r>
    <s v="505983 TD Bank"/>
    <s v="Automatic reply: AQM Cert  [505983 TD Auto Finance - AQM Certs 2022]"/>
    <x v="53"/>
    <s v="Burgess, Silvia C (Pronouns: she/her/hers)"/>
    <s v="WARNING: This email "/>
    <x v="8"/>
    <s v="Folder email"/>
  </r>
  <r>
    <s v="505983 TD Bank"/>
    <s v="FW: R.A.: Reta, Felix #396201 PA#: 505983, 7032 TD Bank N.A., Rusk, Bruce"/>
    <x v="54"/>
    <s v="Beal, Steve"/>
    <s v="PO,_x000d__x000a__x000d__x000a_ _x000d__x000a__x000d__x000a_Bruce Ru"/>
    <x v="8"/>
    <s v="Folder email"/>
  </r>
  <r>
    <s v="505983 TD Bank"/>
    <s v="Resource Allocation Approved (Resource: Rusk, Bruce)"/>
    <x v="55"/>
    <s v="Beal, Stephen (steve.beal@Alvaria.com)"/>
    <s v=" &lt;http://click.netsu"/>
    <x v="8"/>
    <s v="Folder email"/>
  </r>
  <r>
    <s v="505955"/>
    <s v="Automatic reply: 505955 Screen scraper upgrade. [EXTERNAL]"/>
    <x v="56"/>
    <s v="Stephanie Barker"/>
    <s v="WARNING: This email "/>
    <x v="9"/>
    <s v="Inbox email"/>
  </r>
  <r>
    <m/>
    <s v="Rushmore's AQM certificates - Expiring Friday"/>
    <x v="57"/>
    <s v="Beal, Steve"/>
    <s v="Felix, Goutham, _x000d__x000a__x000d__x000a_"/>
    <x v="10"/>
    <s v="Inbox email"/>
  </r>
  <r>
    <s v="505983"/>
    <s v="RE: 505983 TD Auto Finance - AQM Certs 2022"/>
    <x v="58"/>
    <s v="Patrick Nash"/>
    <s v="Silvia, _x000d__x000a__x000d__x000a_ _x000d__x000a__x000d__x000a_I h"/>
    <x v="8"/>
    <s v="Inbox email"/>
  </r>
  <r>
    <m/>
    <s v="Change Request for mobile app"/>
    <x v="59"/>
    <s v="James Moore"/>
    <s v="Felix/Rob Hickey,_x000d__x000a__x000d_"/>
    <x v="10"/>
    <s v="Inbox email"/>
  </r>
  <r>
    <m/>
    <s v="RE: Rushmore's AQM certificates - Expiring Friday"/>
    <x v="60"/>
    <s v="Beal, Steve"/>
    <s v="Thanks Felix,_x000d__x000a__x000d__x000a_ _x000d__x000a_"/>
    <x v="10"/>
    <s v="Inbox email"/>
  </r>
  <r>
    <m/>
    <s v="RE: Rushmore's AQM certificates - Expiring Friday"/>
    <x v="61"/>
    <s v="Srinivasan, Goutham"/>
    <s v="Yes Steve, I have va"/>
    <x v="10"/>
    <s v="Inbox email"/>
  </r>
  <r>
    <m/>
    <s v="RE: Rushmore's AQM certificates - Expiring Friday"/>
    <x v="62"/>
    <s v="Beal, Steve"/>
    <s v="Thank you Goutham.  "/>
    <x v="10"/>
    <s v="Inbox email"/>
  </r>
  <r>
    <m/>
    <s v="RE: Rushmore's AQM certificates - Expiring Friday"/>
    <x v="63"/>
    <s v="Srinivasan, Goutham"/>
    <s v="Yes, Steve._x000d__x000a__x000d__x000a_I wil"/>
    <x v="10"/>
    <s v="Inbox email"/>
  </r>
  <r>
    <s v="505845"/>
    <s v="RE: WFM 21 Dev [505845 -Credit Acceptance Corp. - WFM/APM and AQM Upgrade to V21]"/>
    <x v="64"/>
    <s v="James Moore"/>
    <s v="I believe I will hav"/>
    <x v="2"/>
    <s v="Inbox email"/>
  </r>
  <r>
    <s v="505971"/>
    <s v="RE: 505971 Assurant - Full Reinstall - PS only"/>
    <x v="65"/>
    <s v="Melinda I Memoli"/>
    <s v="WARNING: This email "/>
    <x v="4"/>
    <s v="Inbox email"/>
  </r>
  <r>
    <s v="505845"/>
    <s v="RE: WFM 21 Dev [505845 -Credit Acceptance Corp. - WFM/APM and AQM Upgrade to V21]"/>
    <x v="66"/>
    <s v="James Moore"/>
    <s v="Here is the purchase"/>
    <x v="2"/>
    <s v="Inbox email"/>
  </r>
  <r>
    <m/>
    <s v="RE: AQM Cert"/>
    <x v="67"/>
    <s v="Burgess, Silvia C (Pronouns: she/her/hers)"/>
    <s v="WARNING: This email "/>
    <x v="10"/>
    <s v="Inbox email"/>
  </r>
  <r>
    <s v="505845"/>
    <s v="Re: WFM 21 Dev [505845 -Credit Acceptance Corp. - WFM/APM and AQM Upgrade to V21]"/>
    <x v="68"/>
    <s v="Fitzgerald, Kate"/>
    <s v="Felix,_x000d__x000a__x000d__x000a_I’m scanni"/>
    <x v="2"/>
    <s v="Inbox email"/>
  </r>
  <r>
    <m/>
    <s v="Your daily briefing"/>
    <x v="69"/>
    <s v="Microsoft Viva"/>
    <s v="Hi Reta, Felix [C], "/>
    <x v="10"/>
    <s v="Inbox email"/>
  </r>
  <r>
    <m/>
    <s v="Trost, Lou Ann [C] shared &quot;Project Change Request Guide&quot; with you."/>
    <x v="70"/>
    <s v="Trost, Lou Ann [C]"/>
    <s v=" _x0009__x000d__x000a_Trost, Lou Ann ["/>
    <x v="10"/>
    <s v="Inbox email"/>
  </r>
  <r>
    <m/>
    <s v="RE: Trost, Lou Ann [C] shared &quot;Project Change Request Guide&quot; with you."/>
    <x v="71"/>
    <s v="Sullivan, Jan"/>
    <s v="And Felix, you are n"/>
    <x v="10"/>
    <s v="Inbox email"/>
  </r>
  <r>
    <m/>
    <s v="RE: Trost, Lou Ann [C] shared &quot;Project Change Request Guide&quot; with you."/>
    <x v="72"/>
    <s v="Trost, Lou Ann [C]"/>
    <s v="Thank you Jan.  Here"/>
    <x v="10"/>
    <s v="Inbox email"/>
  </r>
  <r>
    <m/>
    <s v="RE: SSL Cerfificate installations for M&amp;T Development UIP system and AQM systems M&amp;T Bank"/>
    <x v="73"/>
    <s v="Schlinsog, Jason"/>
    <s v="Felix, _x000d__x000a__x000d__x000a__x000d__x000a_Trying "/>
    <x v="10"/>
    <s v="Inbox email"/>
  </r>
  <r>
    <s v="505955"/>
    <s v="RE: 505955 Rushmore UIP Screen Pop Migration. [EXTERNAL]"/>
    <x v="74"/>
    <s v="Rafael Davila"/>
    <s v="WARNING: This email "/>
    <x v="9"/>
    <s v="Inbox email"/>
  </r>
  <r>
    <s v="505955"/>
    <s v="RE: 505955 Rushmore UIP Screen Pop Migration. [EXTERNAL]"/>
    <x v="75"/>
    <s v="Rafael Davila"/>
    <s v="WARNING: This email "/>
    <x v="9"/>
    <s v="Inbox email"/>
  </r>
  <r>
    <s v="505742"/>
    <s v="RE: 505742 Consumer Cellular - Via WFM Training Lab"/>
    <x v="76"/>
    <s v="Amanda Paceley"/>
    <s v="WARNING: This email "/>
    <x v="7"/>
    <s v="Inbox email"/>
  </r>
  <r>
    <s v="505978"/>
    <s v="RE: 505978 Rushmore AQM Server. [EXTERNAL]"/>
    <x v="77"/>
    <s v="Rafael Davila"/>
    <s v="WARNING: This email "/>
    <x v="6"/>
    <s v="Inbox email"/>
  </r>
  <r>
    <m/>
    <s v="WBS Template Attached - RE: Trost, Lou Ann [C] shared &quot;Project Change Request Guide&quot; with you."/>
    <x v="78"/>
    <s v="Sullivan, Jan"/>
    <s v="Template attached - "/>
    <x v="10"/>
    <s v="Inbox email"/>
  </r>
  <r>
    <m/>
    <s v="RE: Synnex-Dell-Accenture- WFM Upgrade V19- V21.1 || APEA"/>
    <x v="79"/>
    <s v="Pacuribot, Jonathan Renz"/>
    <s v="WARNING: This email "/>
    <x v="10"/>
    <s v="Inbox email"/>
  </r>
  <r>
    <m/>
    <s v="CR Tracker URL - RE: WBS Template Attached - RE: Trost, Lou Ann [C] shared &quot;Project Change Request Guide&quot; with you."/>
    <x v="80"/>
    <s v="Sullivan, Jan"/>
    <s v="Below is the url for"/>
    <x v="10"/>
    <s v="Inbox email"/>
  </r>
  <r>
    <s v="505978"/>
    <s v="RE: 505978 Rushmore - AQM QWS Server"/>
    <x v="81"/>
    <s v="Beal, Steve"/>
    <s v="Open an REQ_AQM BAC "/>
    <x v="6"/>
    <s v="Inbox email"/>
  </r>
  <r>
    <s v="505978"/>
    <s v="RE: 505978 Rushmore - AQM QWS Server"/>
    <x v="82"/>
    <s v="Schlinsog, Jason"/>
    <s v=" _x000d__x000a__x000d__x000a_Felix, I believ"/>
    <x v="6"/>
    <s v="Inbox email"/>
  </r>
  <r>
    <s v="505978"/>
    <s v="RE: 505978 Rushmore - AQM QWS Server"/>
    <x v="83"/>
    <s v="Schlinsog, Jason"/>
    <s v="No worries, and glad"/>
    <x v="6"/>
    <s v="Inbox email"/>
  </r>
  <r>
    <m/>
    <s v="Automatic reply: [EXTERNAL]RE: [EXTERNALBock, April [C] &lt;April.Bock@Alvaria.com&gt;]RE: Afni WFM Files"/>
    <x v="84"/>
    <s v="ADAM BROWNFIELD"/>
    <s v="WARNING: This email "/>
    <x v="10"/>
    <s v="Inbox email"/>
  </r>
  <r>
    <m/>
    <s v="RE: AQM Incident"/>
    <x v="85"/>
    <s v="Shanoob, Muhammed"/>
    <s v="Hi Felix and April,_x000d_"/>
    <x v="10"/>
    <s v="Inbox email"/>
  </r>
  <r>
    <s v="505845"/>
    <s v="RE: Change Request. WFM 21 Dev [505845 -Credit Acceptance Corp. - WFM/APM and AQM Upgrade to V21]"/>
    <x v="86"/>
    <s v="Chmel, Greg"/>
    <s v="Thanks Felix – the C"/>
    <x v="2"/>
    <s v="Inbox email"/>
  </r>
  <r>
    <m/>
    <s v="Your daily briefing"/>
    <x v="87"/>
    <s v="Microsoft Viva"/>
    <s v="Hi Reta, Felix [C], "/>
    <x v="10"/>
    <s v="Inbox email"/>
  </r>
  <r>
    <m/>
    <s v="NA I&amp;O Practice Qrt PS Forecast by Project Schedule"/>
    <x v="88"/>
    <s v="Beal, Stephen (steve.beal@Alvaria.com)"/>
    <s v=" &lt;http://click.netsu"/>
    <x v="10"/>
    <s v="Inbox email"/>
  </r>
  <r>
    <m/>
    <s v="NetSuite Password Expiration Warning"/>
    <x v="89"/>
    <s v="NetSuite Notification"/>
    <s v="WARNING: This email "/>
    <x v="10"/>
    <s v="Inbox email"/>
  </r>
  <r>
    <m/>
    <s v="RE: Adding Break Flag to Custom Job"/>
    <x v="90"/>
    <s v="Culver, Brent"/>
    <s v="Hi Brenda;_x000d__x000a__x000d__x000a_ _x000d__x000a__x000d__x000a_I"/>
    <x v="10"/>
    <s v="Inbox email"/>
  </r>
  <r>
    <s v="505845"/>
    <s v="Re: WFM 21 Dev [505845 -Credit Acceptance Corp. - WFM/APM and AQM Upgrade to V21]"/>
    <x v="91"/>
    <s v="Hudson, Robert"/>
    <s v="I'll do some digging"/>
    <x v="2"/>
    <s v="Inbox email"/>
  </r>
  <r>
    <m/>
    <s v="RE: CR Tracker URL - RE: WBS Template Attached - RE: Trost, Lou Ann [C] shared &quot;Project Change Request Guide&quot; with you."/>
    <x v="92"/>
    <s v="Sullivan, Jan"/>
    <s v="Hi all,_x000d__x000a_ _x000d__x000a_I have a"/>
    <x v="10"/>
    <s v="Inbox email"/>
  </r>
  <r>
    <m/>
    <s v="Ticket Creation Confirmation:  INC01612047"/>
    <x v="93"/>
    <s v="Helpdesk Support"/>
    <s v=" &lt;https://aspect.my."/>
    <x v="10"/>
    <s v="Inbox email"/>
  </r>
  <r>
    <m/>
    <s v="Ticket Creation Confirmation:  INC01612049"/>
    <x v="94"/>
    <s v="Helpdesk Support"/>
    <s v=" &lt;https://aspect.my."/>
    <x v="10"/>
    <s v="Inbox email"/>
  </r>
  <r>
    <s v="505971"/>
    <s v="Automatic reply: 505971 Assurant - Full Reinstall - PS only"/>
    <x v="95"/>
    <s v="Mishra, Nirmal"/>
    <s v="Hi Sir/Madam,_x000d__x000a__x000d__x000a_Tha"/>
    <x v="4"/>
    <s v="Inbox email"/>
  </r>
  <r>
    <s v="505845"/>
    <s v="RE: Weekly Status Meeting - WFM &amp; AQM Upgrade 505845 -CAC"/>
    <x v="96"/>
    <s v="Srinivas, Aswath"/>
    <s v="Hi James _x000d__x000a__x000d__x000a_Please "/>
    <x v="2"/>
    <s v="Inbox email"/>
  </r>
  <r>
    <m/>
    <s v="Report results ((JS) 30 days APS Go Live NA Trac)"/>
    <x v="97"/>
    <s v="Jason Schlinsog"/>
    <s v="Total Records 38 _x000d__x000a__x0009_"/>
    <x v="10"/>
    <s v="Inbox email"/>
  </r>
  <r>
    <s v="505845"/>
    <s v="RE: Weekly Status Meeting - WFM &amp; AQM Upgrade 505845 -CAC"/>
    <x v="98"/>
    <s v="James Moore"/>
    <s v="I have found that SQ"/>
    <x v="2"/>
    <s v="Inbox email"/>
  </r>
  <r>
    <s v="505845"/>
    <s v="RE: Weekly Status Meeting - WFM &amp; AQM Upgrade 505845 -CAC"/>
    <x v="99"/>
    <s v="Srinivas, Aswath"/>
    <s v="HI James _x000d__x000a__x000d__x000a_ _x000d__x000a__x000d__x000a_th"/>
    <x v="2"/>
    <s v="Inbox email"/>
  </r>
  <r>
    <s v="505845"/>
    <s v="RE: Weekly Status Meeting - WFM &amp; AQM Upgrade 505845 -CAC"/>
    <x v="100"/>
    <s v="Srinivas, Aswath"/>
    <s v="Hi James_x000d__x000a__x000d__x000a_Server l"/>
    <x v="2"/>
    <s v="Inbox email"/>
  </r>
  <r>
    <s v="505845"/>
    <s v="RE: Change Request. WFM 21 Dev [505845 -Credit Acceptance Corp. - WFM/APM and AQM Upgrade to V21]"/>
    <x v="101"/>
    <s v="Calojero-Herrera, Angela"/>
    <s v="Thank you Felix, I w"/>
    <x v="2"/>
    <s v="Inbox email"/>
  </r>
  <r>
    <m/>
    <s v="Server Specs for WFM/Empower DMZ Servers"/>
    <x v="102"/>
    <s v="James Moore"/>
    <s v="April or Aswath,_x000d__x000a__x000d__x000a_"/>
    <x v="10"/>
    <s v="Inbox email"/>
  </r>
  <r>
    <s v="505845"/>
    <s v="RE: Weekly Status Meeting - WFM &amp; AQM Upgrade 505845 -CAC"/>
    <x v="103"/>
    <s v="James Moore"/>
    <s v="Yes you can._x000d__x000a__x000d__x000a_ _x000d__x000a__x000d_"/>
    <x v="2"/>
    <s v="Inbox email"/>
  </r>
  <r>
    <m/>
    <s v="PM Updates"/>
    <x v="104"/>
    <s v="Schlinsog, Jason"/>
    <s v="All, _x000d__x000a__x000d__x000a_ _x000d__x000a__x000d__x000a_Please"/>
    <x v="10"/>
    <s v="Inbox email"/>
  </r>
  <r>
    <m/>
    <s v="RE: WEM Upgrade _  Consumer_Cellular"/>
    <x v="105"/>
    <s v="Zuckerman, Dan"/>
    <s v="The LAB sits on v20,"/>
    <x v="10"/>
    <s v="Inbox email"/>
  </r>
  <r>
    <m/>
    <s v="RE: WEM Upgrade _  Consumer_Cellular"/>
    <x v="106"/>
    <s v="Nadgir, Sachin"/>
    <s v="Hi Dan,_x000d__x000a__x000d__x000a_ _x000d__x000a__x000d__x000a_Both"/>
    <x v="10"/>
    <s v="Inbox email"/>
  </r>
  <r>
    <m/>
    <s v="RE: WEM Upgrade _  Consumer_Cellular"/>
    <x v="107"/>
    <s v="Zuckerman, Dan"/>
    <s v="Hi Sachin,_x000d__x000a__x000d__x000a_ _x000d__x000a__x000d__x000a_O"/>
    <x v="10"/>
    <s v="Inbox email"/>
  </r>
  <r>
    <m/>
    <s v="RE: CR Tracker URL - RE: WBS Template Attached - RE: Trost, Lou Ann [C] shared &quot;Project Change Request Guide&quot; with you."/>
    <x v="108"/>
    <s v="Schlinsog, Jason"/>
    <s v="Sorry for delay.  I "/>
    <x v="10"/>
    <s v="Inbox email"/>
  </r>
  <r>
    <m/>
    <s v="FW: Server Specs for WFM/Empower DMZ Servers"/>
    <x v="109"/>
    <s v="Bock, April [C]"/>
    <s v="Steve, Dan: _x000d__x000a__x000d__x000a_CAC "/>
    <x v="10"/>
    <s v="Inbox email"/>
  </r>
  <r>
    <m/>
    <s v="RE: CR Tracker URL - RE: WBS Template Attached - RE: Trost, Lou Ann [C] shared &quot;Project Change Request Guide&quot; with you."/>
    <x v="110"/>
    <s v="Trost, Lou Ann [C]"/>
    <s v="Hi Jason,_x000d__x000a__x000d__x000a_ _x000d__x000a__x000d__x000a_No"/>
    <x v="10"/>
    <s v="Inbox email"/>
  </r>
  <r>
    <m/>
    <s v="RE: WEM Upgrade _  Consumer_Cellular"/>
    <x v="111"/>
    <s v="Zuckerman, Dan"/>
    <s v="Okay, who from Produ"/>
    <x v="10"/>
    <s v="Inbox email"/>
  </r>
  <r>
    <m/>
    <s v="Your Daily Digest for Alvaria Inc"/>
    <x v="112"/>
    <s v="Alvaria Inc."/>
    <s v=" _x0009_ _x000d__x000a_ _x0009_ _x000d__x000a_ _x0009_ Hi Feli"/>
    <x v="10"/>
    <s v="Inbox email"/>
  </r>
  <r>
    <m/>
    <s v="FW: Approved by Order Management"/>
    <x v="113"/>
    <s v="Chmel, Greg"/>
    <s v="FYI_x000d__x000a__x000d__x000a_ _x000d__x000a__x000d__x000a_Greg Chm"/>
    <x v="10"/>
    <s v="Inbox email"/>
  </r>
  <r>
    <m/>
    <s v="Your daily briefing"/>
    <x v="114"/>
    <s v="Microsoft Viva"/>
    <s v="Hi Reta, Felix [C], "/>
    <x v="10"/>
    <s v="Inbox email"/>
  </r>
  <r>
    <m/>
    <s v="SO #SOASI027421"/>
    <x v="115"/>
    <s v="Shetty, Disha"/>
    <s v="Hi Felix,_x000d__x000a__x000d__x000a_ _x000d__x000a__x000d__x000a_I "/>
    <x v="10"/>
    <s v="Inbox email"/>
  </r>
  <r>
    <m/>
    <s v="RE: Alliant SOW - Attached Updated Redline - Clean Copy"/>
    <x v="116"/>
    <s v="Chmel, Greg"/>
    <s v="Thanks All! _x000d__x000a__x000d__x000a_ _x000d__x000a__x000d_"/>
    <x v="10"/>
    <s v="Inbox email"/>
  </r>
  <r>
    <m/>
    <s v="Automatic reply: Emergency/Overflow CAB CR Review"/>
    <x v="117"/>
    <s v="Change Management"/>
    <s v="Thank you for writin"/>
    <x v="10"/>
    <s v="Inbox email"/>
  </r>
  <r>
    <s v="505983"/>
    <s v="RE: R.A.: Reta, Felix #396201 PA#: 505983, 7032 TD Bank N.A., REQ_AQM BAC"/>
    <x v="118"/>
    <s v="Singhal, Anukul"/>
    <s v="Steve, would Bruce b"/>
    <x v="8"/>
    <s v="Inbox email"/>
  </r>
  <r>
    <m/>
    <s v="***CR #831 Initiated/edited***"/>
    <x v="119"/>
    <s v="Reta, Felix (felix.reta@alvaria.com)"/>
    <s v=" &lt;http://click.netsu"/>
    <x v="10"/>
    <s v="Inbox email"/>
  </r>
  <r>
    <m/>
    <s v="RE: PRJ Upgrade AQM-WFM - Review schedule with Alvaria"/>
    <x v="120"/>
    <s v="Robert Hickey"/>
    <s v="Felix,_x000d__x000a__x000d__x000a_ _x000d__x000a__x000d__x000a_We un"/>
    <x v="10"/>
    <s v="Inbox email"/>
  </r>
  <r>
    <s v="505845"/>
    <s v="RE: Weekly Status Meeting - WFM &amp; AQM Upgrade 505845 -CAC"/>
    <x v="121"/>
    <s v="Srinivas, Aswath"/>
    <s v="HI James _x000d__x000a__x000d__x000a_I am do"/>
    <x v="2"/>
    <s v="Inbox email"/>
  </r>
  <r>
    <m/>
    <s v="RE: PRJ Upgrade AQM-WFM - Review schedule with Alvaria"/>
    <x v="122"/>
    <s v="Robert Hickey"/>
    <s v="Understood, and that"/>
    <x v="10"/>
    <s v="Inbox email"/>
  </r>
  <r>
    <s v="505967"/>
    <s v="RE: 505967 JetBlue - PS - Secure Agent"/>
    <x v="123"/>
    <s v="Bodrero, Brenda"/>
    <s v="HI Felix – _x000d__x000a__x000d__x000a_ _x000d__x000a__x000d__x000a_"/>
    <x v="5"/>
    <s v="Inbox email"/>
  </r>
  <r>
    <m/>
    <s v="RE: Synnex-Dell-Accenture- WFM Upgrade V19- V21.1 || APEA"/>
    <x v="124"/>
    <s v="Mishra, Nirmal"/>
    <s v="Hello Jonathan,_x000d__x000a__x000d__x000a_ "/>
    <x v="10"/>
    <s v="Inbox email"/>
  </r>
  <r>
    <m/>
    <s v="RE: CR Tracker URL - RE: WBS Template Attached - RE: Trost, Lou Ann [C] shared &quot;Project Change Request Guide&quot; with you."/>
    <x v="125"/>
    <s v="Schlinsog, Jason"/>
    <s v="Also, did they sign "/>
    <x v="10"/>
    <s v="Inbox email"/>
  </r>
  <r>
    <m/>
    <s v="RE: CR Tracker URL - RE: WBS Template Attached - RE: Trost, Lou Ann [C] shared &quot;Project Change Request Guide&quot; with you."/>
    <x v="126"/>
    <s v="Schlinsog, Jason"/>
    <s v="Since the customer i"/>
    <x v="10"/>
    <s v="Inbox email"/>
  </r>
  <r>
    <m/>
    <s v="Ticket Closure Notification"/>
    <x v="127"/>
    <s v="Helpdesk Support"/>
    <s v=" &lt;https://aspect.my."/>
    <x v="10"/>
    <s v="Inbox email"/>
  </r>
  <r>
    <m/>
    <s v="Ticket Closure Notification"/>
    <x v="128"/>
    <s v="Helpdesk Support"/>
    <s v=" &lt;https://aspect.my."/>
    <x v="10"/>
    <s v="Inbox email"/>
  </r>
  <r>
    <s v="505983"/>
    <s v="RE: AQM Cert  [505983 TD Auto Finance - AQM Certs 2022]"/>
    <x v="129"/>
    <s v="Burgess, Silvia C (Pronouns: she/her/hers)"/>
    <s v="WARNING: This email "/>
    <x v="8"/>
    <s v="Inbox email"/>
  </r>
  <r>
    <s v="505983"/>
    <s v="RE: AQM Cert  [505983 TD Auto Finance - AQM Certs 2022]"/>
    <x v="130"/>
    <s v="Patrick Nash"/>
    <s v="Felix and Silvia, _x000d__x000a_"/>
    <x v="8"/>
    <s v="Inbox email"/>
  </r>
  <r>
    <m/>
    <s v="PRJ AQM - WFM Upgrade GANTT.xlsx"/>
    <x v="131"/>
    <s v="Robert Hickey"/>
    <s v=" _x000d__x000a_"/>
    <x v="10"/>
    <s v="Inbox email"/>
  </r>
  <r>
    <m/>
    <s v="RE: Synnex-Dell-Accenture- WFM Upgrade V19- V21.1 || APEA"/>
    <x v="132"/>
    <s v="Pacuribot, Jonathan Renz"/>
    <s v="WARNING: This email "/>
    <x v="10"/>
    <s v="Inbox email"/>
  </r>
  <r>
    <m/>
    <s v="RE: CR Tracker URL - RE: WBS Template Attached - RE: Trost, Lou Ann [C] shared &quot;Project Change Request Guide&quot; with you."/>
    <x v="133"/>
    <s v="Trost, Lou Ann [C]"/>
    <s v="Hi Jason – The Aetna"/>
    <x v="10"/>
    <s v="Inbox email"/>
  </r>
  <r>
    <m/>
    <s v="Feature Request - AQM"/>
    <x v="134"/>
    <s v="James Moore"/>
    <s v="Good afternoon Rober"/>
    <x v="10"/>
    <s v="Inbox email"/>
  </r>
  <r>
    <m/>
    <s v="Thomas Lessard mentioned you in a comment"/>
    <x v="135"/>
    <s v="Alvaria Inc."/>
    <s v="G'day @Felix Reta​ a"/>
    <x v="10"/>
    <s v="Inbox email"/>
  </r>
  <r>
    <m/>
    <s v="RE: Synnex-Dell-Accenture- WFM Upgrade V19- V21.1 || APEA"/>
    <x v="136"/>
    <s v="Pacuribot, Jonathan Renz"/>
    <s v="WARNING: This email "/>
    <x v="10"/>
    <s v="Inbox email"/>
  </r>
  <r>
    <m/>
    <s v="Your Daily Digest for Alvaria Inc"/>
    <x v="137"/>
    <s v="Alvaria Inc."/>
    <s v=" _x0009_ _x000d__x000a_ _x0009_ _x000d__x000a_ _x0009_ Hi Feli"/>
    <x v="10"/>
    <s v="Inbox email"/>
  </r>
  <r>
    <m/>
    <s v="Your daily briefing"/>
    <x v="138"/>
    <s v="Microsoft Viva"/>
    <s v="Hi Reta, Felix [C], "/>
    <x v="10"/>
    <s v="Inbox email"/>
  </r>
  <r>
    <s v="505983"/>
    <s v="RE: R.A.: Reta, Felix #396201 PA#: 505983, 7032 TD Bank N.A., REQ_AQM BAC"/>
    <x v="139"/>
    <s v="Beal, Steve"/>
    <s v="Anukul,_x000d__x000a__x000d__x000a_ _x000d__x000a__x000d__x000a_I am"/>
    <x v="8"/>
    <s v="Inbox email"/>
  </r>
  <r>
    <m/>
    <s v="RE: Synnex-Dell-Accenture- WFM Upgrade V19- V21.1 || APEA"/>
    <x v="140"/>
    <s v="Mishra, Nirmal"/>
    <s v="Hello Jonathan,_x000d__x000a__x000d__x000a_ "/>
    <x v="10"/>
    <s v="Inbox email"/>
  </r>
  <r>
    <m/>
    <s v="ACCSR-65"/>
    <x v="141"/>
    <s v="Bock, April [C]"/>
    <s v="Alvaria has been sug"/>
    <x v="10"/>
    <s v="Inbox email"/>
  </r>
  <r>
    <m/>
    <s v="Goutham OOO on 2nd &amp; 3rd May 2022"/>
    <x v="142"/>
    <s v="Srinivasan, Goutham"/>
    <s v="Hi All,_x000d__x000a__x000d__x000a_ _x000d__x000a__x000d__x000a_Plea"/>
    <x v="10"/>
    <s v="Inbox email"/>
  </r>
  <r>
    <m/>
    <s v="TD Bank AQM Certs"/>
    <x v="143"/>
    <s v="Rusk, Bruce"/>
    <s v="Felix,_x000d__x000a__x000d__x000a_ _x000d__x000a__x000d__x000a_Can y"/>
    <x v="10"/>
    <s v="Inbox email"/>
  </r>
  <r>
    <s v="505983"/>
    <s v="RE: AQM Cert  [505983 TD Auto Finance - AQM Certs 2022]"/>
    <x v="144"/>
    <s v="Chadalavada, Ajay"/>
    <s v="WARNING: This email "/>
    <x v="8"/>
    <s v="Inbox email"/>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r>
    <m/>
    <m/>
    <x v="145"/>
    <m/>
    <m/>
    <x v="1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77F7EB-783F-494F-B945-81E3318953C0}" name="PivotTable1" cacheId="3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I15" firstHeaderRow="1" firstDataRow="3" firstDataCol="1"/>
  <pivotFields count="8">
    <pivotField showAll="0"/>
    <pivotField dataField="1" showAll="0"/>
    <pivotField axis="axisCol"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axis="axisRow" showAll="0">
      <items count="20">
        <item h="1" x="10"/>
        <item m="1" x="12"/>
        <item m="1" x="18"/>
        <item m="1" x="15"/>
        <item m="1" x="16"/>
        <item m="1" x="13"/>
        <item x="7"/>
        <item x="2"/>
        <item m="1" x="11"/>
        <item x="0"/>
        <item x="1"/>
        <item m="1" x="17"/>
        <item x="3"/>
        <item x="9"/>
        <item x="5"/>
        <item x="4"/>
        <item x="6"/>
        <item h="1" m="1" x="14"/>
        <item h="1" x="8"/>
        <item t="default"/>
      </items>
    </pivotField>
    <pivotField showAll="0"/>
    <pivotField axis="axisCol" showAll="0">
      <items count="15">
        <item sd="0" x="0"/>
        <item sd="0" x="1"/>
        <item sd="0" x="2"/>
        <item sd="0" x="3"/>
        <item x="4"/>
        <item sd="0" x="5"/>
        <item sd="0" x="6"/>
        <item sd="0" x="7"/>
        <item sd="0" x="8"/>
        <item sd="0" x="9"/>
        <item sd="0" x="10"/>
        <item sd="0" x="11"/>
        <item sd="0" x="12"/>
        <item sd="0" x="13"/>
        <item t="default"/>
      </items>
    </pivotField>
  </pivotFields>
  <rowFields count="1">
    <field x="5"/>
  </rowFields>
  <rowItems count="10">
    <i>
      <x v="6"/>
    </i>
    <i>
      <x v="7"/>
    </i>
    <i>
      <x v="9"/>
    </i>
    <i>
      <x v="10"/>
    </i>
    <i>
      <x v="12"/>
    </i>
    <i>
      <x v="13"/>
    </i>
    <i>
      <x v="14"/>
    </i>
    <i>
      <x v="15"/>
    </i>
    <i>
      <x v="16"/>
    </i>
    <i t="grand">
      <x/>
    </i>
  </rowItems>
  <colFields count="2">
    <field x="7"/>
    <field x="2"/>
  </colFields>
  <colItems count="8">
    <i>
      <x v="4"/>
      <x v="113"/>
    </i>
    <i r="1">
      <x v="116"/>
    </i>
    <i r="1">
      <x v="117"/>
    </i>
    <i r="1">
      <x v="118"/>
    </i>
    <i r="1">
      <x v="119"/>
    </i>
    <i r="1">
      <x v="120"/>
    </i>
    <i t="default">
      <x v="4"/>
    </i>
    <i t="grand">
      <x/>
    </i>
  </colItems>
  <dataFields count="1">
    <dataField name="Count of Subjec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11C57B-B7A2-4AF2-9964-FF99A74352A8}" name="PivotTable2"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F9" firstHeaderRow="1" firstDataRow="2" firstDataCol="1"/>
  <pivotFields count="9">
    <pivotField axis="axisRow" showAll="0">
      <items count="13">
        <item x="5"/>
        <item m="1" x="11"/>
        <item x="1"/>
        <item m="1" x="9"/>
        <item m="1" x="10"/>
        <item x="2"/>
        <item m="1" x="7"/>
        <item x="4"/>
        <item m="1" x="8"/>
        <item h="1" x="0"/>
        <item h="1" x="6"/>
        <item h="1" x="3"/>
        <item t="default"/>
      </items>
    </pivotField>
    <pivotField showAll="0"/>
    <pivotField dataField="1" showAll="0"/>
    <pivotField axis="axisCol" numFmtId="14" showAll="0">
      <items count="14">
        <item m="1" x="10"/>
        <item m="1" x="7"/>
        <item m="1" x="8"/>
        <item m="1" x="9"/>
        <item m="1" x="11"/>
        <item m="1" x="12"/>
        <item x="1"/>
        <item x="6"/>
        <item x="0"/>
        <item x="2"/>
        <item x="3"/>
        <item x="4"/>
        <item x="5"/>
        <item t="default"/>
      </items>
    </pivotField>
    <pivotField numFmtId="14" showAll="0"/>
    <pivotField numFmtId="18" showAll="0"/>
    <pivotField numFmtId="18" showAll="0"/>
    <pivotField numFmtId="2" showAll="0"/>
    <pivotField showAll="0"/>
  </pivotFields>
  <rowFields count="1">
    <field x="0"/>
  </rowFields>
  <rowItems count="5">
    <i>
      <x/>
    </i>
    <i>
      <x v="2"/>
    </i>
    <i>
      <x v="5"/>
    </i>
    <i>
      <x v="7"/>
    </i>
    <i t="grand">
      <x/>
    </i>
  </rowItems>
  <colFields count="1">
    <field x="3"/>
  </colFields>
  <colItems count="5">
    <i>
      <x v="6"/>
    </i>
    <i>
      <x v="8"/>
    </i>
    <i>
      <x v="10"/>
    </i>
    <i>
      <x v="11"/>
    </i>
    <i t="grand">
      <x/>
    </i>
  </colItems>
  <dataFields count="1">
    <dataField name="Count of Subject"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954D8E3-8EBC-4E3F-BB69-1D88BCCF707E}" name="PivotTable3" cacheId="3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I14" firstHeaderRow="1" firstDataRow="2" firstDataCol="1"/>
  <pivotFields count="10">
    <pivotField axis="axisRow" showAll="0">
      <items count="19">
        <item m="1" x="17"/>
        <item x="3"/>
        <item x="5"/>
        <item x="8"/>
        <item x="1"/>
        <item x="2"/>
        <item x="4"/>
        <item x="6"/>
        <item x="7"/>
        <item x="9"/>
        <item x="11"/>
        <item x="10"/>
        <item x="12"/>
        <item x="0"/>
        <item m="1" x="16"/>
        <item x="13"/>
        <item x="14"/>
        <item x="15"/>
        <item t="default"/>
      </items>
    </pivotField>
    <pivotField showAll="0"/>
    <pivotField dataField="1" showAll="0"/>
    <pivotField axis="axisCol" showAl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t="default"/>
      </items>
    </pivotField>
    <pivotField showAll="0"/>
    <pivotField showAll="0"/>
    <pivotField showAll="0"/>
    <pivotField showAll="0"/>
    <pivotField showAll="0"/>
    <pivotField showAll="0"/>
  </pivotFields>
  <rowFields count="1">
    <field x="0"/>
  </rowFields>
  <rowItems count="10">
    <i>
      <x v="4"/>
    </i>
    <i>
      <x v="8"/>
    </i>
    <i>
      <x v="10"/>
    </i>
    <i>
      <x v="11"/>
    </i>
    <i>
      <x v="12"/>
    </i>
    <i>
      <x v="13"/>
    </i>
    <i>
      <x v="15"/>
    </i>
    <i>
      <x v="16"/>
    </i>
    <i>
      <x v="17"/>
    </i>
    <i t="grand">
      <x/>
    </i>
  </rowItems>
  <colFields count="1">
    <field x="3"/>
  </colFields>
  <colItems count="8">
    <i>
      <x v="1"/>
    </i>
    <i>
      <x v="5"/>
    </i>
    <i>
      <x v="13"/>
    </i>
    <i>
      <x v="19"/>
    </i>
    <i>
      <x v="41"/>
    </i>
    <i>
      <x v="42"/>
    </i>
    <i>
      <x v="46"/>
    </i>
    <i t="grand">
      <x/>
    </i>
  </colItems>
  <dataFields count="1">
    <dataField name="Count of Subject" fld="2" subtotal="count" baseField="0" baseItem="0"/>
  </dataFields>
  <pivotTableStyleInfo name="PivotStyleLight16" showRowHeaders="1" showColHeaders="1" showRowStripes="0" showColStripes="0" showLastColumn="1"/>
  <filters count="1">
    <filter fld="3" type="dateNewerThan" evalOrder="-1" id="2">
      <autoFilter ref="A1">
        <filterColumn colId="0">
          <customFilters>
            <customFilter operator="greaterThan" val="4467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D7E40B-45A4-4347-9DF3-DE4621FAC235}" name="Table2" displayName="Table2" ref="E1:K430" totalsRowShown="0" headerRowDxfId="13">
  <autoFilter ref="E1:K430" xr:uid="{3ED7E40B-45A4-4347-9DF3-DE4621FAC235}"/>
  <tableColumns count="7">
    <tableColumn id="1" xr3:uid="{F6C2A695-6C4C-4AD9-9200-91A03EF1DFA4}" name="Folder"/>
    <tableColumn id="2" xr3:uid="{8592385A-0E8C-411F-8662-D37DC8B63DA9}" name="Subject"/>
    <tableColumn id="3" xr3:uid="{DCE899C4-6298-4B33-9533-D597DB95FC6A}" name="Date" dataDxfId="12"/>
    <tableColumn id="4" xr3:uid="{F59039F7-7729-489D-BD60-B87112F0887B}" name="Sender"/>
    <tableColumn id="5" xr3:uid="{FBEEA2D4-FA0B-4270-9FE4-48705D7AF363}" name="Body" dataDxfId="11"/>
    <tableColumn id="6" xr3:uid="{75A86417-35B1-4025-A129-3795850CE11F}" name="Project" dataDxfId="0">
      <calculatedColumnFormula>LEFT(Table2[[#This Row],[Folder]],6)</calculatedColumnFormula>
    </tableColumn>
    <tableColumn id="7" xr3:uid="{8A16ECFA-D8B3-4B70-9E7A-8D875731804D}" name="Source"/>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AABE42-AFE5-4F78-8A88-8F2A96ADF2E1}" name="Table1" displayName="Table1" ref="A1:I110" totalsRowShown="0">
  <autoFilter ref="A1:I110" xr:uid="{87AABE42-AFE5-4F78-8A88-8F2A96ADF2E1}"/>
  <tableColumns count="9">
    <tableColumn id="1" xr3:uid="{D24400B4-45E4-4DB5-9591-B850ABC2DFB8}" name="Project"/>
    <tableColumn id="2" xr3:uid="{95428B72-087A-40BD-84AC-1C080D97E8A3}" name="Category"/>
    <tableColumn id="3" xr3:uid="{ADA49873-EDC1-4DFD-977D-975EF1A310F4}" name="Subject"/>
    <tableColumn id="4" xr3:uid="{B5272581-5F8C-4FBB-8858-CC41B4A6D46B}" name="Starting Date" dataDxfId="10"/>
    <tableColumn id="5" xr3:uid="{934C2891-18DC-4A85-9761-9FD46CDE14C9}" name="Ending Date" dataDxfId="9"/>
    <tableColumn id="6" xr3:uid="{6B171F20-0A9D-4AD3-A84A-7528C5DF1A35}" name="Start Time" dataDxfId="8"/>
    <tableColumn id="7" xr3:uid="{881F306C-82F7-4477-B694-A0535D11BA7C}" name="End Time" dataDxfId="7"/>
    <tableColumn id="8" xr3:uid="{CF896FAC-F1A6-4E4A-B53B-BDD3B5712483}" name="Hours" dataDxfId="6"/>
    <tableColumn id="9" xr3:uid="{FF664D00-AB87-4D00-9639-DD824816E419}" name="Attende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9432D41-C980-4F44-82FE-E653F3B5C3CA}" name="Table3" displayName="Table3" ref="A1:J178" totalsRowShown="0">
  <autoFilter ref="A1:J178" xr:uid="{D9432D41-C980-4F44-82FE-E653F3B5C3CA}"/>
  <tableColumns count="10">
    <tableColumn id="1" xr3:uid="{2F537723-785A-4C97-92AF-1799520A1F75}" name="Project"/>
    <tableColumn id="2" xr3:uid="{CFEE96CC-3639-45C0-9C31-0266BEB4405B}" name="Category"/>
    <tableColumn id="3" xr3:uid="{BB7EAA2E-0D7D-4F8C-BB40-0ADB7237A759}" name="Subject"/>
    <tableColumn id="4" xr3:uid="{FB625737-B9BF-4522-AF60-CF106CA484CB}" name="Starting Date" dataDxfId="5"/>
    <tableColumn id="5" xr3:uid="{6008E485-FCAD-4F41-A8C0-C7C7270A4F0B}" name="Ending Date" dataDxfId="4"/>
    <tableColumn id="6" xr3:uid="{BC971494-79AC-48DF-A390-01A27988D176}" name="Start Time" dataDxfId="3"/>
    <tableColumn id="7" xr3:uid="{05B8DA42-83EB-4DB6-A9C5-8DF9562669B4}" name="End Time" dataDxfId="2"/>
    <tableColumn id="8" xr3:uid="{434DBBC8-F29D-4E67-82BD-8BC0EF8FB822}" name="Hours" dataDxfId="1"/>
    <tableColumn id="9" xr3:uid="{3A24C378-9BF4-41C1-995F-D74A6393F3B1}" name="Attendees"/>
    <tableColumn id="10" xr3:uid="{5D41E3CA-9484-4DD3-84C4-B7C177FE297D}" nam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6E93B-A3E0-4C79-AE59-1DD4CA1F6DBD}">
  <sheetPr codeName="Sheet3"/>
  <dimension ref="A3:I15"/>
  <sheetViews>
    <sheetView tabSelected="1" workbookViewId="0">
      <selection activeCell="C10" sqref="C10"/>
    </sheetView>
  </sheetViews>
  <sheetFormatPr defaultRowHeight="15" x14ac:dyDescent="0.25"/>
  <cols>
    <col min="1" max="1" width="15.7109375" bestFit="1" customWidth="1"/>
    <col min="2" max="2" width="8.7109375" customWidth="1"/>
    <col min="3" max="7" width="6.85546875" bestFit="1" customWidth="1"/>
    <col min="8" max="8" width="9" bestFit="1" customWidth="1"/>
    <col min="9" max="10" width="11.28515625" bestFit="1" customWidth="1"/>
    <col min="11" max="17" width="6.85546875" bestFit="1" customWidth="1"/>
    <col min="18" max="18" width="9" bestFit="1" customWidth="1"/>
    <col min="19" max="21" width="11.28515625" bestFit="1" customWidth="1"/>
    <col min="22" max="23" width="14.85546875" bestFit="1" customWidth="1"/>
    <col min="24" max="31" width="13.85546875" bestFit="1" customWidth="1"/>
    <col min="32" max="32" width="12.7109375" bestFit="1" customWidth="1"/>
    <col min="33" max="37" width="13.85546875" bestFit="1" customWidth="1"/>
    <col min="38" max="39" width="12.7109375" bestFit="1" customWidth="1"/>
    <col min="40" max="41" width="13.85546875" bestFit="1" customWidth="1"/>
    <col min="42" max="42" width="12.7109375" bestFit="1" customWidth="1"/>
    <col min="43" max="66" width="13.85546875" bestFit="1" customWidth="1"/>
    <col min="67" max="67" width="12.7109375" bestFit="1" customWidth="1"/>
    <col min="68" max="72" width="13.85546875" bestFit="1" customWidth="1"/>
    <col min="73" max="119" width="14.85546875" bestFit="1" customWidth="1"/>
    <col min="120" max="120" width="13.85546875" bestFit="1" customWidth="1"/>
    <col min="121" max="125" width="14.85546875" bestFit="1" customWidth="1"/>
    <col min="126" max="126" width="11.28515625" bestFit="1" customWidth="1"/>
  </cols>
  <sheetData>
    <row r="3" spans="1:9" x14ac:dyDescent="0.25">
      <c r="A3" s="4" t="s">
        <v>19</v>
      </c>
      <c r="B3" s="4" t="s">
        <v>56</v>
      </c>
    </row>
    <row r="4" spans="1:9" x14ac:dyDescent="0.25">
      <c r="B4" t="s">
        <v>57</v>
      </c>
      <c r="H4" t="s">
        <v>58</v>
      </c>
      <c r="I4" t="s">
        <v>18</v>
      </c>
    </row>
    <row r="5" spans="1:9" x14ac:dyDescent="0.25">
      <c r="A5" s="4" t="s">
        <v>17</v>
      </c>
      <c r="B5" t="s">
        <v>233</v>
      </c>
      <c r="C5" t="s">
        <v>510</v>
      </c>
      <c r="D5" t="s">
        <v>511</v>
      </c>
      <c r="E5" t="s">
        <v>512</v>
      </c>
      <c r="F5" t="s">
        <v>239</v>
      </c>
      <c r="G5" t="s">
        <v>513</v>
      </c>
    </row>
    <row r="6" spans="1:9" x14ac:dyDescent="0.25">
      <c r="A6" s="5" t="s">
        <v>55</v>
      </c>
      <c r="B6" s="6"/>
      <c r="C6" s="6"/>
      <c r="D6" s="6">
        <v>1</v>
      </c>
      <c r="E6" s="6">
        <v>3</v>
      </c>
      <c r="F6" s="6"/>
      <c r="G6" s="6"/>
      <c r="H6" s="6">
        <v>4</v>
      </c>
      <c r="I6" s="6">
        <v>4</v>
      </c>
    </row>
    <row r="7" spans="1:9" x14ac:dyDescent="0.25">
      <c r="A7" s="5" t="s">
        <v>44</v>
      </c>
      <c r="B7" s="6"/>
      <c r="C7" s="6">
        <v>5</v>
      </c>
      <c r="D7" s="6">
        <v>1</v>
      </c>
      <c r="E7" s="6">
        <v>13</v>
      </c>
      <c r="F7" s="6">
        <v>3</v>
      </c>
      <c r="G7" s="6"/>
      <c r="H7" s="6">
        <v>22</v>
      </c>
      <c r="I7" s="6">
        <v>22</v>
      </c>
    </row>
    <row r="8" spans="1:9" x14ac:dyDescent="0.25">
      <c r="A8" s="5" t="s">
        <v>120</v>
      </c>
      <c r="B8" s="6"/>
      <c r="C8" s="6"/>
      <c r="D8" s="6">
        <v>2</v>
      </c>
      <c r="E8" s="6">
        <v>3</v>
      </c>
      <c r="F8" s="6"/>
      <c r="G8" s="6"/>
      <c r="H8" s="6">
        <v>5</v>
      </c>
      <c r="I8" s="6">
        <v>5</v>
      </c>
    </row>
    <row r="9" spans="1:9" x14ac:dyDescent="0.25">
      <c r="A9" s="5" t="s">
        <v>125</v>
      </c>
      <c r="B9" s="6">
        <v>1</v>
      </c>
      <c r="C9" s="6">
        <v>1</v>
      </c>
      <c r="D9" s="6"/>
      <c r="E9" s="6"/>
      <c r="F9" s="6"/>
      <c r="G9" s="6"/>
      <c r="H9" s="6">
        <v>2</v>
      </c>
      <c r="I9" s="6">
        <v>2</v>
      </c>
    </row>
    <row r="10" spans="1:9" x14ac:dyDescent="0.25">
      <c r="A10" s="5" t="s">
        <v>45</v>
      </c>
      <c r="B10" s="6"/>
      <c r="C10" s="6">
        <v>2</v>
      </c>
      <c r="D10" s="6">
        <v>1</v>
      </c>
      <c r="E10" s="6"/>
      <c r="F10" s="6"/>
      <c r="G10" s="6">
        <v>4</v>
      </c>
      <c r="H10" s="6">
        <v>7</v>
      </c>
      <c r="I10" s="6">
        <v>7</v>
      </c>
    </row>
    <row r="11" spans="1:9" x14ac:dyDescent="0.25">
      <c r="A11" s="5" t="s">
        <v>52</v>
      </c>
      <c r="B11" s="6"/>
      <c r="C11" s="6">
        <v>1</v>
      </c>
      <c r="D11" s="6">
        <v>2</v>
      </c>
      <c r="E11" s="6"/>
      <c r="F11" s="6"/>
      <c r="G11" s="6"/>
      <c r="H11" s="6">
        <v>3</v>
      </c>
      <c r="I11" s="6">
        <v>3</v>
      </c>
    </row>
    <row r="12" spans="1:9" x14ac:dyDescent="0.25">
      <c r="A12" s="5" t="s">
        <v>285</v>
      </c>
      <c r="B12" s="6"/>
      <c r="C12" s="6"/>
      <c r="D12" s="6"/>
      <c r="E12" s="6"/>
      <c r="F12" s="6">
        <v>2</v>
      </c>
      <c r="G12" s="6"/>
      <c r="H12" s="6">
        <v>2</v>
      </c>
      <c r="I12" s="6">
        <v>2</v>
      </c>
    </row>
    <row r="13" spans="1:9" x14ac:dyDescent="0.25">
      <c r="A13" s="5" t="s">
        <v>53</v>
      </c>
      <c r="B13" s="6"/>
      <c r="C13" s="6">
        <v>1</v>
      </c>
      <c r="D13" s="6"/>
      <c r="E13" s="6">
        <v>2</v>
      </c>
      <c r="F13" s="6"/>
      <c r="G13" s="6"/>
      <c r="H13" s="6">
        <v>3</v>
      </c>
      <c r="I13" s="6">
        <v>3</v>
      </c>
    </row>
    <row r="14" spans="1:9" x14ac:dyDescent="0.25">
      <c r="A14" s="5" t="s">
        <v>72</v>
      </c>
      <c r="B14" s="6"/>
      <c r="C14" s="6">
        <v>6</v>
      </c>
      <c r="D14" s="6">
        <v>11</v>
      </c>
      <c r="E14" s="6">
        <v>2</v>
      </c>
      <c r="F14" s="6"/>
      <c r="G14" s="6"/>
      <c r="H14" s="6">
        <v>19</v>
      </c>
      <c r="I14" s="6">
        <v>19</v>
      </c>
    </row>
    <row r="15" spans="1:9" x14ac:dyDescent="0.25">
      <c r="A15" s="5" t="s">
        <v>18</v>
      </c>
      <c r="B15" s="6">
        <v>1</v>
      </c>
      <c r="C15" s="6">
        <v>16</v>
      </c>
      <c r="D15" s="6">
        <v>18</v>
      </c>
      <c r="E15" s="6">
        <v>23</v>
      </c>
      <c r="F15" s="6">
        <v>5</v>
      </c>
      <c r="G15" s="6">
        <v>4</v>
      </c>
      <c r="H15" s="6">
        <v>67</v>
      </c>
      <c r="I15" s="6">
        <v>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D02015-0108-460A-87FD-2381EE68536E}">
  <sheetPr codeName="Sheet1"/>
  <dimension ref="A1:K430"/>
  <sheetViews>
    <sheetView workbookViewId="0">
      <selection activeCell="E2" sqref="E2"/>
    </sheetView>
  </sheetViews>
  <sheetFormatPr defaultRowHeight="12" customHeight="1" x14ac:dyDescent="0.25"/>
  <cols>
    <col min="1" max="1" width="10.140625" bestFit="1" customWidth="1"/>
    <col min="2" max="2" width="9.7109375" bestFit="1" customWidth="1"/>
    <col min="5" max="5" width="14" customWidth="1"/>
    <col min="6" max="6" width="24.140625" customWidth="1"/>
    <col min="7" max="7" width="14.85546875" bestFit="1" customWidth="1"/>
    <col min="11" max="11" width="12.140625" bestFit="1" customWidth="1"/>
  </cols>
  <sheetData>
    <row r="1" spans="1:11" ht="12" customHeight="1" x14ac:dyDescent="0.25">
      <c r="A1" t="s">
        <v>0</v>
      </c>
      <c r="B1" s="3">
        <v>44673</v>
      </c>
      <c r="E1" s="10" t="s">
        <v>69</v>
      </c>
      <c r="F1" s="10" t="s">
        <v>14</v>
      </c>
      <c r="G1" s="11" t="s">
        <v>15</v>
      </c>
      <c r="H1" s="10" t="s">
        <v>70</v>
      </c>
      <c r="I1" s="12" t="s">
        <v>16</v>
      </c>
      <c r="J1" s="10" t="s">
        <v>42</v>
      </c>
      <c r="K1" s="10" t="s">
        <v>126</v>
      </c>
    </row>
    <row r="2" spans="1:11" ht="12" customHeight="1" x14ac:dyDescent="0.25">
      <c r="E2" t="s">
        <v>5</v>
      </c>
      <c r="F2" t="s">
        <v>223</v>
      </c>
      <c r="G2" s="1">
        <v>44677.439016203702</v>
      </c>
      <c r="H2" t="s">
        <v>66</v>
      </c>
      <c r="I2" s="2" t="s">
        <v>476</v>
      </c>
      <c r="J2" t="str">
        <f>LEFT(Table2[[#This Row],[Folder]],6)</f>
        <v>505909</v>
      </c>
      <c r="K2" t="s">
        <v>130</v>
      </c>
    </row>
    <row r="3" spans="1:11" ht="12" customHeight="1" x14ac:dyDescent="0.25">
      <c r="E3" t="s">
        <v>5</v>
      </c>
      <c r="F3" t="s">
        <v>223</v>
      </c>
      <c r="G3" s="1">
        <v>44677.472037037034</v>
      </c>
      <c r="H3" t="s">
        <v>299</v>
      </c>
      <c r="I3" s="2" t="s">
        <v>477</v>
      </c>
      <c r="J3" t="str">
        <f>LEFT(Table2[[#This Row],[Folder]],6)</f>
        <v>505909</v>
      </c>
      <c r="K3" t="s">
        <v>130</v>
      </c>
    </row>
    <row r="4" spans="1:11" ht="12" customHeight="1" x14ac:dyDescent="0.25">
      <c r="E4" t="s">
        <v>5</v>
      </c>
      <c r="F4" t="s">
        <v>478</v>
      </c>
      <c r="G4" s="1">
        <v>44678.423611111109</v>
      </c>
      <c r="H4" t="s">
        <v>67</v>
      </c>
      <c r="I4" s="2" t="s">
        <v>479</v>
      </c>
      <c r="J4" t="str">
        <f>LEFT(Table2[[#This Row],[Folder]],6)</f>
        <v>505909</v>
      </c>
      <c r="K4" t="s">
        <v>130</v>
      </c>
    </row>
    <row r="5" spans="1:11" ht="12" customHeight="1" x14ac:dyDescent="0.25">
      <c r="E5" t="s">
        <v>5</v>
      </c>
      <c r="F5" t="s">
        <v>223</v>
      </c>
      <c r="G5" s="1">
        <v>44678.459467592591</v>
      </c>
      <c r="H5" t="s">
        <v>299</v>
      </c>
      <c r="I5" s="2" t="s">
        <v>480</v>
      </c>
      <c r="J5" t="str">
        <f>LEFT(Table2[[#This Row],[Folder]],6)</f>
        <v>505909</v>
      </c>
      <c r="K5" t="s">
        <v>130</v>
      </c>
    </row>
    <row r="6" spans="1:11" ht="12" customHeight="1" x14ac:dyDescent="0.25">
      <c r="E6" t="s">
        <v>5</v>
      </c>
      <c r="F6" t="s">
        <v>478</v>
      </c>
      <c r="G6" s="1">
        <v>44678.579351851855</v>
      </c>
      <c r="H6" t="s">
        <v>297</v>
      </c>
      <c r="I6" s="2" t="s">
        <v>481</v>
      </c>
      <c r="J6" t="str">
        <f>LEFT(Table2[[#This Row],[Folder]],6)</f>
        <v>505909</v>
      </c>
      <c r="K6" t="s">
        <v>130</v>
      </c>
    </row>
    <row r="7" spans="1:11" ht="12" customHeight="1" x14ac:dyDescent="0.25">
      <c r="E7" t="s">
        <v>6</v>
      </c>
      <c r="F7" t="s">
        <v>224</v>
      </c>
      <c r="G7" s="1">
        <v>44673.381249999999</v>
      </c>
      <c r="H7" t="s">
        <v>67</v>
      </c>
      <c r="I7" s="2" t="s">
        <v>225</v>
      </c>
      <c r="J7" t="str">
        <f>LEFT(Table2[[#This Row],[Folder]],6)</f>
        <v>505921</v>
      </c>
      <c r="K7" t="s">
        <v>130</v>
      </c>
    </row>
    <row r="8" spans="1:11" ht="12" customHeight="1" x14ac:dyDescent="0.25">
      <c r="E8" t="s">
        <v>6</v>
      </c>
      <c r="F8" t="s">
        <v>482</v>
      </c>
      <c r="G8" s="1">
        <v>44676.973321759258</v>
      </c>
      <c r="H8" t="s">
        <v>60</v>
      </c>
      <c r="I8" s="2" t="s">
        <v>483</v>
      </c>
      <c r="J8" t="str">
        <f>LEFT(Table2[[#This Row],[Folder]],6)</f>
        <v>505921</v>
      </c>
      <c r="K8" t="s">
        <v>130</v>
      </c>
    </row>
    <row r="9" spans="1:11" ht="12" customHeight="1" x14ac:dyDescent="0.25">
      <c r="E9" t="s">
        <v>9</v>
      </c>
      <c r="F9" t="s">
        <v>304</v>
      </c>
      <c r="G9" s="1">
        <v>44676.481631944444</v>
      </c>
      <c r="H9" t="s">
        <v>82</v>
      </c>
      <c r="I9" s="2" t="s">
        <v>425</v>
      </c>
      <c r="J9" t="str">
        <f>LEFT(Table2[[#This Row],[Folder]],6)</f>
        <v>505845</v>
      </c>
      <c r="K9" t="s">
        <v>130</v>
      </c>
    </row>
    <row r="10" spans="1:11" ht="12" customHeight="1" x14ac:dyDescent="0.25">
      <c r="E10" t="s">
        <v>9</v>
      </c>
      <c r="F10" t="s">
        <v>304</v>
      </c>
      <c r="G10" s="1">
        <v>44676.485763888886</v>
      </c>
      <c r="H10" t="s">
        <v>84</v>
      </c>
      <c r="I10" s="2" t="s">
        <v>426</v>
      </c>
      <c r="J10" t="str">
        <f>LEFT(Table2[[#This Row],[Folder]],6)</f>
        <v>505845</v>
      </c>
      <c r="K10" t="s">
        <v>130</v>
      </c>
    </row>
    <row r="11" spans="1:11" ht="12" customHeight="1" x14ac:dyDescent="0.25">
      <c r="E11" t="s">
        <v>9</v>
      </c>
      <c r="F11" t="s">
        <v>211</v>
      </c>
      <c r="G11" s="1">
        <v>44678.434884259259</v>
      </c>
      <c r="H11" t="s">
        <v>86</v>
      </c>
      <c r="I11" s="2" t="s">
        <v>427</v>
      </c>
      <c r="J11" t="str">
        <f>LEFT(Table2[[#This Row],[Folder]],6)</f>
        <v>505845</v>
      </c>
      <c r="K11" t="s">
        <v>130</v>
      </c>
    </row>
    <row r="12" spans="1:11" ht="12" customHeight="1" x14ac:dyDescent="0.25">
      <c r="E12" t="s">
        <v>9</v>
      </c>
      <c r="F12" t="s">
        <v>347</v>
      </c>
      <c r="G12" s="1">
        <v>44678.436805555553</v>
      </c>
      <c r="H12" t="s">
        <v>67</v>
      </c>
      <c r="I12" s="2" t="s">
        <v>428</v>
      </c>
      <c r="J12" t="str">
        <f>LEFT(Table2[[#This Row],[Folder]],6)</f>
        <v>505845</v>
      </c>
      <c r="K12" t="s">
        <v>130</v>
      </c>
    </row>
    <row r="13" spans="1:11" ht="12" customHeight="1" x14ac:dyDescent="0.25">
      <c r="E13" t="s">
        <v>9</v>
      </c>
      <c r="F13" t="s">
        <v>362</v>
      </c>
      <c r="G13" s="1">
        <v>44678.59302083333</v>
      </c>
      <c r="H13" t="s">
        <v>84</v>
      </c>
      <c r="I13" s="2" t="s">
        <v>399</v>
      </c>
      <c r="J13" t="str">
        <f>LEFT(Table2[[#This Row],[Folder]],6)</f>
        <v>505845</v>
      </c>
      <c r="K13" t="s">
        <v>130</v>
      </c>
    </row>
    <row r="14" spans="1:11" ht="12" customHeight="1" x14ac:dyDescent="0.25">
      <c r="E14" t="s">
        <v>9</v>
      </c>
      <c r="F14" t="s">
        <v>296</v>
      </c>
      <c r="G14" s="1">
        <v>44678.654780092591</v>
      </c>
      <c r="H14" t="s">
        <v>84</v>
      </c>
      <c r="I14" s="2" t="s">
        <v>429</v>
      </c>
      <c r="J14" t="str">
        <f>LEFT(Table2[[#This Row],[Folder]],6)</f>
        <v>505845</v>
      </c>
      <c r="K14" t="s">
        <v>130</v>
      </c>
    </row>
    <row r="15" spans="1:11" ht="12" customHeight="1" x14ac:dyDescent="0.25">
      <c r="E15" t="s">
        <v>9</v>
      </c>
      <c r="F15" t="s">
        <v>362</v>
      </c>
      <c r="G15" s="1">
        <v>44678.667974537035</v>
      </c>
      <c r="H15" t="s">
        <v>86</v>
      </c>
      <c r="I15" s="2" t="s">
        <v>430</v>
      </c>
      <c r="J15" t="str">
        <f>LEFT(Table2[[#This Row],[Folder]],6)</f>
        <v>505845</v>
      </c>
      <c r="K15" t="s">
        <v>130</v>
      </c>
    </row>
    <row r="16" spans="1:11" ht="12" customHeight="1" x14ac:dyDescent="0.25">
      <c r="E16" t="s">
        <v>9</v>
      </c>
      <c r="F16" t="s">
        <v>362</v>
      </c>
      <c r="G16" s="1">
        <v>44678.712685185186</v>
      </c>
      <c r="H16" t="s">
        <v>86</v>
      </c>
      <c r="I16" s="2" t="s">
        <v>431</v>
      </c>
      <c r="J16" t="str">
        <f>LEFT(Table2[[#This Row],[Folder]],6)</f>
        <v>505845</v>
      </c>
      <c r="K16" t="s">
        <v>130</v>
      </c>
    </row>
    <row r="17" spans="5:11" ht="12" customHeight="1" x14ac:dyDescent="0.25">
      <c r="E17" t="s">
        <v>9</v>
      </c>
      <c r="F17" t="s">
        <v>354</v>
      </c>
      <c r="G17" s="1">
        <v>44679.586562500001</v>
      </c>
      <c r="H17" t="s">
        <v>60</v>
      </c>
      <c r="I17" s="2" t="s">
        <v>432</v>
      </c>
      <c r="J17" t="str">
        <f>LEFT(Table2[[#This Row],[Folder]],6)</f>
        <v>505845</v>
      </c>
      <c r="K17" t="s">
        <v>130</v>
      </c>
    </row>
    <row r="18" spans="5:11" ht="12" customHeight="1" x14ac:dyDescent="0.25">
      <c r="E18" t="s">
        <v>9</v>
      </c>
      <c r="F18" t="s">
        <v>433</v>
      </c>
      <c r="G18" s="1">
        <v>44679.595057870371</v>
      </c>
      <c r="H18" t="s">
        <v>84</v>
      </c>
      <c r="I18" s="2" t="s">
        <v>434</v>
      </c>
      <c r="J18" t="str">
        <f>LEFT(Table2[[#This Row],[Folder]],6)</f>
        <v>505845</v>
      </c>
      <c r="K18" t="s">
        <v>130</v>
      </c>
    </row>
    <row r="19" spans="5:11" ht="12" customHeight="1" x14ac:dyDescent="0.25">
      <c r="E19" t="s">
        <v>10</v>
      </c>
      <c r="F19" t="s">
        <v>435</v>
      </c>
      <c r="G19" s="1">
        <v>44676.468078703707</v>
      </c>
      <c r="H19" t="s">
        <v>114</v>
      </c>
      <c r="I19" s="2" t="s">
        <v>403</v>
      </c>
      <c r="J19" t="str">
        <f>LEFT(Table2[[#This Row],[Folder]],6)</f>
        <v>505936</v>
      </c>
      <c r="K19" t="s">
        <v>130</v>
      </c>
    </row>
    <row r="20" spans="5:11" ht="12" customHeight="1" x14ac:dyDescent="0.25">
      <c r="E20" t="s">
        <v>10</v>
      </c>
      <c r="F20" t="s">
        <v>338</v>
      </c>
      <c r="G20" s="1">
        <v>44676.478425925925</v>
      </c>
      <c r="H20" t="s">
        <v>114</v>
      </c>
      <c r="I20" s="2" t="s">
        <v>403</v>
      </c>
      <c r="J20" t="str">
        <f>LEFT(Table2[[#This Row],[Folder]],6)</f>
        <v>505936</v>
      </c>
      <c r="K20" t="s">
        <v>130</v>
      </c>
    </row>
    <row r="21" spans="5:11" ht="12" customHeight="1" x14ac:dyDescent="0.25">
      <c r="E21" t="s">
        <v>10</v>
      </c>
      <c r="F21" t="s">
        <v>116</v>
      </c>
      <c r="G21" s="1">
        <v>44677.547326388885</v>
      </c>
      <c r="H21" t="s">
        <v>97</v>
      </c>
      <c r="I21" s="2" t="s">
        <v>217</v>
      </c>
      <c r="J21" t="str">
        <f>LEFT(Table2[[#This Row],[Folder]],6)</f>
        <v>505936</v>
      </c>
      <c r="K21" t="s">
        <v>130</v>
      </c>
    </row>
    <row r="22" spans="5:11" ht="12" customHeight="1" x14ac:dyDescent="0.25">
      <c r="E22" t="s">
        <v>10</v>
      </c>
      <c r="F22" t="s">
        <v>338</v>
      </c>
      <c r="G22" s="1">
        <v>44680.573842592596</v>
      </c>
      <c r="H22" t="s">
        <v>97</v>
      </c>
      <c r="I22" s="2" t="s">
        <v>217</v>
      </c>
      <c r="J22" t="str">
        <f>LEFT(Table2[[#This Row],[Folder]],6)</f>
        <v>505936</v>
      </c>
      <c r="K22" t="s">
        <v>130</v>
      </c>
    </row>
    <row r="23" spans="5:11" ht="12" customHeight="1" x14ac:dyDescent="0.25">
      <c r="E23" t="s">
        <v>10</v>
      </c>
      <c r="F23" t="s">
        <v>338</v>
      </c>
      <c r="G23" s="1">
        <v>44680.580625000002</v>
      </c>
      <c r="H23" t="s">
        <v>97</v>
      </c>
      <c r="I23" s="2" t="s">
        <v>217</v>
      </c>
      <c r="J23" t="str">
        <f>LEFT(Table2[[#This Row],[Folder]],6)</f>
        <v>505936</v>
      </c>
      <c r="K23" t="s">
        <v>130</v>
      </c>
    </row>
    <row r="24" spans="5:11" ht="12" customHeight="1" x14ac:dyDescent="0.25">
      <c r="E24" t="s">
        <v>10</v>
      </c>
      <c r="F24" t="s">
        <v>338</v>
      </c>
      <c r="G24" s="1">
        <v>44680.582789351851</v>
      </c>
      <c r="H24" t="s">
        <v>114</v>
      </c>
      <c r="I24" s="2" t="s">
        <v>403</v>
      </c>
      <c r="J24" t="str">
        <f>LEFT(Table2[[#This Row],[Folder]],6)</f>
        <v>505936</v>
      </c>
      <c r="K24" t="s">
        <v>130</v>
      </c>
    </row>
    <row r="25" spans="5:11" ht="12" customHeight="1" x14ac:dyDescent="0.25">
      <c r="E25" t="s">
        <v>10</v>
      </c>
      <c r="F25" t="s">
        <v>338</v>
      </c>
      <c r="G25" s="1">
        <v>44680.585081018522</v>
      </c>
      <c r="H25" t="s">
        <v>97</v>
      </c>
      <c r="I25" s="2" t="s">
        <v>217</v>
      </c>
      <c r="J25" t="str">
        <f>LEFT(Table2[[#This Row],[Folder]],6)</f>
        <v>505936</v>
      </c>
      <c r="K25" t="s">
        <v>130</v>
      </c>
    </row>
    <row r="26" spans="5:11" ht="12" customHeight="1" x14ac:dyDescent="0.25">
      <c r="E26" t="s">
        <v>12</v>
      </c>
      <c r="F26" t="s">
        <v>319</v>
      </c>
      <c r="G26" s="1">
        <v>44678.588877314818</v>
      </c>
      <c r="H26" t="s">
        <v>99</v>
      </c>
      <c r="I26" s="2" t="s">
        <v>217</v>
      </c>
      <c r="J26" t="str">
        <f>LEFT(Table2[[#This Row],[Folder]],6)</f>
        <v>505971</v>
      </c>
      <c r="K26" t="s">
        <v>130</v>
      </c>
    </row>
    <row r="27" spans="5:11" ht="12" customHeight="1" x14ac:dyDescent="0.25">
      <c r="E27" t="s">
        <v>13</v>
      </c>
      <c r="F27" t="s">
        <v>401</v>
      </c>
      <c r="G27" s="1">
        <v>44679.443113425928</v>
      </c>
      <c r="H27" t="s">
        <v>300</v>
      </c>
      <c r="I27" s="2" t="s">
        <v>436</v>
      </c>
      <c r="J27" t="str">
        <f>LEFT(Table2[[#This Row],[Folder]],6)</f>
        <v>505967</v>
      </c>
      <c r="K27" t="s">
        <v>130</v>
      </c>
    </row>
    <row r="28" spans="5:11" ht="12" customHeight="1" x14ac:dyDescent="0.25">
      <c r="E28" t="s">
        <v>437</v>
      </c>
      <c r="F28" t="s">
        <v>213</v>
      </c>
      <c r="G28" s="1">
        <v>44676.500196759262</v>
      </c>
      <c r="H28" t="s">
        <v>101</v>
      </c>
      <c r="I28" s="2" t="s">
        <v>217</v>
      </c>
      <c r="J28" t="str">
        <f>LEFT(Table2[[#This Row],[Folder]],6)</f>
        <v>505978</v>
      </c>
      <c r="K28" t="s">
        <v>130</v>
      </c>
    </row>
    <row r="29" spans="5:11" ht="12" customHeight="1" x14ac:dyDescent="0.25">
      <c r="E29" t="s">
        <v>437</v>
      </c>
      <c r="F29" t="s">
        <v>213</v>
      </c>
      <c r="G29" s="1">
        <v>44676.530844907407</v>
      </c>
      <c r="H29" t="s">
        <v>115</v>
      </c>
      <c r="I29" s="2" t="s">
        <v>438</v>
      </c>
      <c r="J29" t="str">
        <f>LEFT(Table2[[#This Row],[Folder]],6)</f>
        <v>505978</v>
      </c>
      <c r="K29" t="s">
        <v>130</v>
      </c>
    </row>
    <row r="30" spans="5:11" ht="12" customHeight="1" x14ac:dyDescent="0.25">
      <c r="E30" t="s">
        <v>437</v>
      </c>
      <c r="F30" t="s">
        <v>213</v>
      </c>
      <c r="G30" s="1">
        <v>44676.531666666669</v>
      </c>
      <c r="H30" t="s">
        <v>101</v>
      </c>
      <c r="I30" s="2" t="s">
        <v>217</v>
      </c>
      <c r="J30" t="str">
        <f>LEFT(Table2[[#This Row],[Folder]],6)</f>
        <v>505978</v>
      </c>
      <c r="K30" t="s">
        <v>130</v>
      </c>
    </row>
    <row r="31" spans="5:11" ht="12" customHeight="1" x14ac:dyDescent="0.25">
      <c r="E31" t="s">
        <v>437</v>
      </c>
      <c r="F31" t="s">
        <v>213</v>
      </c>
      <c r="G31" s="1">
        <v>44676.559039351851</v>
      </c>
      <c r="H31" t="s">
        <v>101</v>
      </c>
      <c r="I31" s="2" t="s">
        <v>217</v>
      </c>
      <c r="J31" t="str">
        <f>LEFT(Table2[[#This Row],[Folder]],6)</f>
        <v>505978</v>
      </c>
      <c r="K31" t="s">
        <v>130</v>
      </c>
    </row>
    <row r="32" spans="5:11" ht="12" customHeight="1" x14ac:dyDescent="0.25">
      <c r="E32" t="s">
        <v>437</v>
      </c>
      <c r="F32" t="s">
        <v>103</v>
      </c>
      <c r="G32" s="1">
        <v>44676.694074074076</v>
      </c>
      <c r="H32" t="s">
        <v>439</v>
      </c>
      <c r="I32" s="2" t="s">
        <v>217</v>
      </c>
      <c r="J32" t="str">
        <f>LEFT(Table2[[#This Row],[Folder]],6)</f>
        <v>505978</v>
      </c>
      <c r="K32" t="s">
        <v>130</v>
      </c>
    </row>
    <row r="33" spans="5:11" ht="12" customHeight="1" x14ac:dyDescent="0.25">
      <c r="E33" t="s">
        <v>437</v>
      </c>
      <c r="F33" t="s">
        <v>440</v>
      </c>
      <c r="G33" s="1">
        <v>44676.741226851853</v>
      </c>
      <c r="H33" t="s">
        <v>60</v>
      </c>
      <c r="I33" s="2" t="s">
        <v>441</v>
      </c>
      <c r="J33" t="str">
        <f>LEFT(Table2[[#This Row],[Folder]],6)</f>
        <v>505978</v>
      </c>
      <c r="K33" t="s">
        <v>130</v>
      </c>
    </row>
    <row r="34" spans="5:11" ht="12" customHeight="1" x14ac:dyDescent="0.25">
      <c r="E34" t="s">
        <v>437</v>
      </c>
      <c r="F34" t="s">
        <v>213</v>
      </c>
      <c r="G34" s="1">
        <v>44677.054236111115</v>
      </c>
      <c r="H34" t="s">
        <v>115</v>
      </c>
      <c r="I34" s="2" t="s">
        <v>442</v>
      </c>
      <c r="J34" t="str">
        <f>LEFT(Table2[[#This Row],[Folder]],6)</f>
        <v>505978</v>
      </c>
      <c r="K34" t="s">
        <v>130</v>
      </c>
    </row>
    <row r="35" spans="5:11" ht="12" customHeight="1" x14ac:dyDescent="0.25">
      <c r="E35" t="s">
        <v>437</v>
      </c>
      <c r="F35" t="s">
        <v>443</v>
      </c>
      <c r="G35" s="1">
        <v>44677.097500000003</v>
      </c>
      <c r="H35" t="s">
        <v>444</v>
      </c>
      <c r="I35" s="2" t="s">
        <v>445</v>
      </c>
      <c r="J35" t="str">
        <f>LEFT(Table2[[#This Row],[Folder]],6)</f>
        <v>505978</v>
      </c>
      <c r="K35" t="s">
        <v>130</v>
      </c>
    </row>
    <row r="36" spans="5:11" ht="12" customHeight="1" x14ac:dyDescent="0.25">
      <c r="E36" t="s">
        <v>437</v>
      </c>
      <c r="F36" t="s">
        <v>213</v>
      </c>
      <c r="G36" s="1">
        <v>44677.271689814814</v>
      </c>
      <c r="H36" t="s">
        <v>101</v>
      </c>
      <c r="I36" s="2" t="s">
        <v>217</v>
      </c>
      <c r="J36" t="str">
        <f>LEFT(Table2[[#This Row],[Folder]],6)</f>
        <v>505978</v>
      </c>
      <c r="K36" t="s">
        <v>130</v>
      </c>
    </row>
    <row r="37" spans="5:11" ht="12" customHeight="1" x14ac:dyDescent="0.25">
      <c r="E37" t="s">
        <v>437</v>
      </c>
      <c r="F37" t="s">
        <v>213</v>
      </c>
      <c r="G37" s="1">
        <v>44677.308263888888</v>
      </c>
      <c r="H37" t="s">
        <v>115</v>
      </c>
      <c r="I37" s="2" t="s">
        <v>446</v>
      </c>
      <c r="J37" t="str">
        <f>LEFT(Table2[[#This Row],[Folder]],6)</f>
        <v>505978</v>
      </c>
      <c r="K37" t="s">
        <v>130</v>
      </c>
    </row>
    <row r="38" spans="5:11" ht="12" customHeight="1" x14ac:dyDescent="0.25">
      <c r="E38" t="s">
        <v>437</v>
      </c>
      <c r="F38" t="s">
        <v>213</v>
      </c>
      <c r="G38" s="1">
        <v>44677.381585648145</v>
      </c>
      <c r="H38" t="s">
        <v>439</v>
      </c>
      <c r="I38" s="2" t="s">
        <v>217</v>
      </c>
      <c r="J38" t="str">
        <f>LEFT(Table2[[#This Row],[Folder]],6)</f>
        <v>505978</v>
      </c>
      <c r="K38" t="s">
        <v>130</v>
      </c>
    </row>
    <row r="39" spans="5:11" ht="12" customHeight="1" x14ac:dyDescent="0.25">
      <c r="E39" t="s">
        <v>437</v>
      </c>
      <c r="F39" t="s">
        <v>213</v>
      </c>
      <c r="G39" s="1">
        <v>44677.39166666667</v>
      </c>
      <c r="H39" t="s">
        <v>67</v>
      </c>
      <c r="I39" s="2" t="s">
        <v>447</v>
      </c>
      <c r="J39" t="str">
        <f>LEFT(Table2[[#This Row],[Folder]],6)</f>
        <v>505978</v>
      </c>
      <c r="K39" t="s">
        <v>130</v>
      </c>
    </row>
    <row r="40" spans="5:11" ht="12" customHeight="1" x14ac:dyDescent="0.25">
      <c r="E40" t="s">
        <v>437</v>
      </c>
      <c r="F40" t="s">
        <v>448</v>
      </c>
      <c r="G40" s="1">
        <v>44677.706759259258</v>
      </c>
      <c r="H40" t="s">
        <v>59</v>
      </c>
      <c r="I40" s="2" t="s">
        <v>449</v>
      </c>
      <c r="J40" t="str">
        <f>LEFT(Table2[[#This Row],[Folder]],6)</f>
        <v>505978</v>
      </c>
      <c r="K40" t="s">
        <v>130</v>
      </c>
    </row>
    <row r="41" spans="5:11" ht="12" customHeight="1" x14ac:dyDescent="0.25">
      <c r="E41" t="s">
        <v>437</v>
      </c>
      <c r="F41" t="s">
        <v>450</v>
      </c>
      <c r="G41" s="1">
        <v>44678.139351851853</v>
      </c>
      <c r="H41" t="s">
        <v>75</v>
      </c>
      <c r="I41" s="2" t="s">
        <v>218</v>
      </c>
      <c r="J41" t="str">
        <f>LEFT(Table2[[#This Row],[Folder]],6)</f>
        <v>505978</v>
      </c>
      <c r="K41" t="s">
        <v>130</v>
      </c>
    </row>
    <row r="42" spans="5:11" ht="12" customHeight="1" x14ac:dyDescent="0.25">
      <c r="E42" t="s">
        <v>437</v>
      </c>
      <c r="F42" t="s">
        <v>443</v>
      </c>
      <c r="G42" s="1">
        <v>44678.966145833336</v>
      </c>
      <c r="H42" t="s">
        <v>444</v>
      </c>
      <c r="I42" s="2" t="s">
        <v>451</v>
      </c>
      <c r="J42" t="str">
        <f>LEFT(Table2[[#This Row],[Folder]],6)</f>
        <v>505978</v>
      </c>
      <c r="K42" t="s">
        <v>130</v>
      </c>
    </row>
    <row r="43" spans="5:11" ht="12" customHeight="1" x14ac:dyDescent="0.25">
      <c r="E43" t="s">
        <v>49</v>
      </c>
      <c r="F43" t="s">
        <v>452</v>
      </c>
      <c r="G43" s="1">
        <v>44678.515289351853</v>
      </c>
      <c r="H43" t="s">
        <v>105</v>
      </c>
      <c r="I43" s="2" t="s">
        <v>453</v>
      </c>
      <c r="J43" t="str">
        <f>LEFT(Table2[[#This Row],[Folder]],6)</f>
        <v>505742</v>
      </c>
      <c r="K43" t="s">
        <v>130</v>
      </c>
    </row>
    <row r="44" spans="5:11" ht="12" customHeight="1" x14ac:dyDescent="0.25">
      <c r="E44" t="s">
        <v>49</v>
      </c>
      <c r="F44" t="s">
        <v>452</v>
      </c>
      <c r="G44" s="1">
        <v>44678.520925925928</v>
      </c>
      <c r="H44" t="s">
        <v>105</v>
      </c>
      <c r="I44" s="2" t="s">
        <v>454</v>
      </c>
      <c r="J44" t="str">
        <f>LEFT(Table2[[#This Row],[Folder]],6)</f>
        <v>505742</v>
      </c>
      <c r="K44" t="s">
        <v>130</v>
      </c>
    </row>
    <row r="45" spans="5:11" ht="12" customHeight="1" x14ac:dyDescent="0.25">
      <c r="E45" t="s">
        <v>49</v>
      </c>
      <c r="F45" t="s">
        <v>375</v>
      </c>
      <c r="G45" s="1">
        <v>44678.677175925928</v>
      </c>
      <c r="H45" t="s">
        <v>378</v>
      </c>
      <c r="I45" s="2" t="s">
        <v>455</v>
      </c>
      <c r="J45" t="str">
        <f>LEFT(Table2[[#This Row],[Folder]],6)</f>
        <v>505742</v>
      </c>
      <c r="K45" t="s">
        <v>130</v>
      </c>
    </row>
    <row r="46" spans="5:11" ht="12" customHeight="1" x14ac:dyDescent="0.25">
      <c r="E46" t="s">
        <v>132</v>
      </c>
      <c r="F46" t="s">
        <v>221</v>
      </c>
      <c r="G46" s="1">
        <v>44673.510381944441</v>
      </c>
      <c r="H46" t="s">
        <v>94</v>
      </c>
      <c r="I46" s="2" t="s">
        <v>222</v>
      </c>
      <c r="J46" t="str">
        <f>LEFT(Table2[[#This Row],[Folder]],6)</f>
        <v>505983</v>
      </c>
      <c r="K46" t="s">
        <v>130</v>
      </c>
    </row>
    <row r="47" spans="5:11" ht="12" customHeight="1" x14ac:dyDescent="0.25">
      <c r="E47" t="s">
        <v>132</v>
      </c>
      <c r="F47" t="s">
        <v>456</v>
      </c>
      <c r="G47" s="1">
        <v>44673.644537037035</v>
      </c>
      <c r="H47" t="s">
        <v>60</v>
      </c>
      <c r="I47" s="2" t="s">
        <v>457</v>
      </c>
      <c r="J47" t="str">
        <f>LEFT(Table2[[#This Row],[Folder]],6)</f>
        <v>505983</v>
      </c>
      <c r="K47" t="s">
        <v>130</v>
      </c>
    </row>
    <row r="48" spans="5:11" ht="12" customHeight="1" x14ac:dyDescent="0.25">
      <c r="E48" t="s">
        <v>132</v>
      </c>
      <c r="F48" t="s">
        <v>458</v>
      </c>
      <c r="G48" s="1">
        <v>44673.658310185187</v>
      </c>
      <c r="H48" t="s">
        <v>459</v>
      </c>
      <c r="I48" s="2" t="s">
        <v>460</v>
      </c>
      <c r="J48" t="str">
        <f>LEFT(Table2[[#This Row],[Folder]],6)</f>
        <v>505983</v>
      </c>
      <c r="K48" t="s">
        <v>130</v>
      </c>
    </row>
    <row r="49" spans="5:11" ht="12" customHeight="1" x14ac:dyDescent="0.25">
      <c r="E49" t="s">
        <v>132</v>
      </c>
      <c r="F49" t="s">
        <v>461</v>
      </c>
      <c r="G49" s="1">
        <v>44673.670173611114</v>
      </c>
      <c r="H49" t="s">
        <v>87</v>
      </c>
      <c r="I49" s="2" t="s">
        <v>462</v>
      </c>
      <c r="J49" t="str">
        <f>LEFT(Table2[[#This Row],[Folder]],6)</f>
        <v>505983</v>
      </c>
      <c r="K49" t="s">
        <v>130</v>
      </c>
    </row>
    <row r="50" spans="5:11" ht="12" customHeight="1" x14ac:dyDescent="0.25">
      <c r="E50" t="s">
        <v>132</v>
      </c>
      <c r="F50" t="s">
        <v>461</v>
      </c>
      <c r="G50" s="1">
        <v>44676.365590277775</v>
      </c>
      <c r="H50" t="s">
        <v>67</v>
      </c>
      <c r="I50" s="2" t="s">
        <v>463</v>
      </c>
      <c r="J50" t="str">
        <f>LEFT(Table2[[#This Row],[Folder]],6)</f>
        <v>505983</v>
      </c>
      <c r="K50" t="s">
        <v>130</v>
      </c>
    </row>
    <row r="51" spans="5:11" ht="12" customHeight="1" x14ac:dyDescent="0.25">
      <c r="E51" t="s">
        <v>132</v>
      </c>
      <c r="F51" t="s">
        <v>464</v>
      </c>
      <c r="G51" s="1">
        <v>44676.365682870368</v>
      </c>
      <c r="H51" t="s">
        <v>94</v>
      </c>
      <c r="I51" s="2" t="s">
        <v>465</v>
      </c>
      <c r="J51" t="str">
        <f>LEFT(Table2[[#This Row],[Folder]],6)</f>
        <v>505983</v>
      </c>
      <c r="K51" t="s">
        <v>130</v>
      </c>
    </row>
    <row r="52" spans="5:11" ht="12" customHeight="1" x14ac:dyDescent="0.25">
      <c r="E52" t="s">
        <v>132</v>
      </c>
      <c r="F52" t="s">
        <v>466</v>
      </c>
      <c r="G52" s="1">
        <v>44676.427233796298</v>
      </c>
      <c r="H52" t="s">
        <v>467</v>
      </c>
      <c r="I52" s="2" t="s">
        <v>468</v>
      </c>
      <c r="J52" t="str">
        <f>LEFT(Table2[[#This Row],[Folder]],6)</f>
        <v>505983</v>
      </c>
      <c r="K52" t="s">
        <v>130</v>
      </c>
    </row>
    <row r="53" spans="5:11" ht="12" customHeight="1" x14ac:dyDescent="0.25">
      <c r="E53" t="s">
        <v>132</v>
      </c>
      <c r="F53" t="s">
        <v>302</v>
      </c>
      <c r="G53" s="1">
        <v>44678.388726851852</v>
      </c>
      <c r="H53" t="s">
        <v>309</v>
      </c>
      <c r="I53" s="2" t="s">
        <v>469</v>
      </c>
      <c r="J53" t="str">
        <f>LEFT(Table2[[#This Row],[Folder]],6)</f>
        <v>505983</v>
      </c>
      <c r="K53" t="s">
        <v>130</v>
      </c>
    </row>
    <row r="54" spans="5:11" ht="12" customHeight="1" x14ac:dyDescent="0.25">
      <c r="E54" t="s">
        <v>132</v>
      </c>
      <c r="F54" t="s">
        <v>470</v>
      </c>
      <c r="G54" s="1">
        <v>44678.62537037037</v>
      </c>
      <c r="H54" t="s">
        <v>309</v>
      </c>
      <c r="I54" s="2" t="s">
        <v>471</v>
      </c>
      <c r="J54" t="str">
        <f>LEFT(Table2[[#This Row],[Folder]],6)</f>
        <v>505983</v>
      </c>
      <c r="K54" t="s">
        <v>130</v>
      </c>
    </row>
    <row r="55" spans="5:11" ht="12" customHeight="1" x14ac:dyDescent="0.25">
      <c r="E55" t="s">
        <v>132</v>
      </c>
      <c r="F55" t="s">
        <v>472</v>
      </c>
      <c r="G55" s="1">
        <v>44680.595092592594</v>
      </c>
      <c r="H55" t="s">
        <v>303</v>
      </c>
      <c r="I55" s="2" t="s">
        <v>217</v>
      </c>
      <c r="J55" t="str">
        <f>LEFT(Table2[[#This Row],[Folder]],6)</f>
        <v>505983</v>
      </c>
      <c r="K55" t="s">
        <v>130</v>
      </c>
    </row>
    <row r="56" spans="5:11" ht="12" customHeight="1" x14ac:dyDescent="0.25">
      <c r="E56" t="s">
        <v>132</v>
      </c>
      <c r="F56" t="s">
        <v>473</v>
      </c>
      <c r="G56" s="1">
        <v>44680.595462962963</v>
      </c>
      <c r="H56" t="s">
        <v>87</v>
      </c>
      <c r="I56" s="2" t="s">
        <v>474</v>
      </c>
      <c r="J56" t="str">
        <f>LEFT(Table2[[#This Row],[Folder]],6)</f>
        <v>505983</v>
      </c>
      <c r="K56" t="s">
        <v>130</v>
      </c>
    </row>
    <row r="57" spans="5:11" ht="12" customHeight="1" x14ac:dyDescent="0.25">
      <c r="E57" t="s">
        <v>132</v>
      </c>
      <c r="F57" t="s">
        <v>475</v>
      </c>
      <c r="G57" s="1">
        <v>44680.59574074074</v>
      </c>
      <c r="H57" t="s">
        <v>98</v>
      </c>
      <c r="I57" s="2" t="s">
        <v>218</v>
      </c>
      <c r="J57" t="str">
        <f>LEFT(Table2[[#This Row],[Folder]],6)</f>
        <v>505983</v>
      </c>
      <c r="K57" t="s">
        <v>130</v>
      </c>
    </row>
    <row r="58" spans="5:11" ht="12" customHeight="1" x14ac:dyDescent="0.25">
      <c r="E58" t="s">
        <v>52</v>
      </c>
      <c r="F58" t="s">
        <v>305</v>
      </c>
      <c r="G58" s="1">
        <v>44676.574733796297</v>
      </c>
      <c r="H58" t="s">
        <v>306</v>
      </c>
      <c r="I58" s="2" t="s">
        <v>217</v>
      </c>
      <c r="J58" t="str">
        <f>LEFT(Table2[[#This Row],[Folder]],6)</f>
        <v>505955</v>
      </c>
      <c r="K58" t="s">
        <v>127</v>
      </c>
    </row>
    <row r="59" spans="5:11" ht="12" customHeight="1" x14ac:dyDescent="0.25">
      <c r="F59" t="s">
        <v>307</v>
      </c>
      <c r="G59" s="1">
        <v>44676.604189814818</v>
      </c>
      <c r="H59" t="s">
        <v>87</v>
      </c>
      <c r="I59" s="2" t="s">
        <v>308</v>
      </c>
      <c r="J59" t="str">
        <f>LEFT(Table2[[#This Row],[Folder]],6)</f>
        <v/>
      </c>
      <c r="K59" t="s">
        <v>127</v>
      </c>
    </row>
    <row r="60" spans="5:11" ht="12" customHeight="1" x14ac:dyDescent="0.25">
      <c r="E60" t="s">
        <v>128</v>
      </c>
      <c r="F60" t="s">
        <v>302</v>
      </c>
      <c r="G60" s="1">
        <v>44676.604212962964</v>
      </c>
      <c r="H60" t="s">
        <v>309</v>
      </c>
      <c r="I60" s="2" t="s">
        <v>310</v>
      </c>
      <c r="J60" t="str">
        <f>LEFT(Table2[[#This Row],[Folder]],6)</f>
        <v>505983</v>
      </c>
      <c r="K60" t="s">
        <v>127</v>
      </c>
    </row>
    <row r="61" spans="5:11" ht="12" customHeight="1" x14ac:dyDescent="0.25">
      <c r="F61" t="s">
        <v>311</v>
      </c>
      <c r="G61" s="1">
        <v>44676.607858796298</v>
      </c>
      <c r="H61" t="s">
        <v>86</v>
      </c>
      <c r="I61" s="2" t="s">
        <v>312</v>
      </c>
      <c r="J61" t="str">
        <f>LEFT(Table2[[#This Row],[Folder]],6)</f>
        <v/>
      </c>
      <c r="K61" t="s">
        <v>127</v>
      </c>
    </row>
    <row r="62" spans="5:11" ht="12" customHeight="1" x14ac:dyDescent="0.25">
      <c r="F62" t="s">
        <v>313</v>
      </c>
      <c r="G62" s="1">
        <v>44676.612650462965</v>
      </c>
      <c r="H62" t="s">
        <v>87</v>
      </c>
      <c r="I62" s="2" t="s">
        <v>314</v>
      </c>
      <c r="J62" t="str">
        <f>LEFT(Table2[[#This Row],[Folder]],6)</f>
        <v/>
      </c>
      <c r="K62" t="s">
        <v>127</v>
      </c>
    </row>
    <row r="63" spans="5:11" ht="12" customHeight="1" x14ac:dyDescent="0.25">
      <c r="F63" t="s">
        <v>313</v>
      </c>
      <c r="G63" s="1">
        <v>44676.618738425925</v>
      </c>
      <c r="H63" t="s">
        <v>115</v>
      </c>
      <c r="I63" s="2" t="s">
        <v>315</v>
      </c>
      <c r="J63" t="str">
        <f>LEFT(Table2[[#This Row],[Folder]],6)</f>
        <v/>
      </c>
      <c r="K63" t="s">
        <v>127</v>
      </c>
    </row>
    <row r="64" spans="5:11" ht="12" customHeight="1" x14ac:dyDescent="0.25">
      <c r="F64" t="s">
        <v>313</v>
      </c>
      <c r="G64" s="1">
        <v>44676.625474537039</v>
      </c>
      <c r="H64" t="s">
        <v>87</v>
      </c>
      <c r="I64" s="2" t="s">
        <v>316</v>
      </c>
      <c r="J64" t="str">
        <f>LEFT(Table2[[#This Row],[Folder]],6)</f>
        <v/>
      </c>
      <c r="K64" t="s">
        <v>127</v>
      </c>
    </row>
    <row r="65" spans="5:11" ht="12" customHeight="1" x14ac:dyDescent="0.25">
      <c r="F65" t="s">
        <v>313</v>
      </c>
      <c r="G65" s="1">
        <v>44676.627372685187</v>
      </c>
      <c r="H65" t="s">
        <v>115</v>
      </c>
      <c r="I65" s="2" t="s">
        <v>317</v>
      </c>
      <c r="J65" t="str">
        <f>LEFT(Table2[[#This Row],[Folder]],6)</f>
        <v/>
      </c>
      <c r="K65" t="s">
        <v>127</v>
      </c>
    </row>
    <row r="66" spans="5:11" ht="12" customHeight="1" x14ac:dyDescent="0.25">
      <c r="E66" t="s">
        <v>44</v>
      </c>
      <c r="F66" t="s">
        <v>211</v>
      </c>
      <c r="G66" s="1">
        <v>44676.672175925924</v>
      </c>
      <c r="H66" t="s">
        <v>86</v>
      </c>
      <c r="I66" s="2" t="s">
        <v>318</v>
      </c>
      <c r="J66" t="str">
        <f>LEFT(Table2[[#This Row],[Folder]],6)</f>
        <v>505845</v>
      </c>
      <c r="K66" t="s">
        <v>127</v>
      </c>
    </row>
    <row r="67" spans="5:11" ht="12" customHeight="1" x14ac:dyDescent="0.25">
      <c r="E67" t="s">
        <v>53</v>
      </c>
      <c r="F67" t="s">
        <v>319</v>
      </c>
      <c r="G67" s="1">
        <v>44676.673310185186</v>
      </c>
      <c r="H67" t="s">
        <v>99</v>
      </c>
      <c r="I67" s="2" t="s">
        <v>217</v>
      </c>
      <c r="J67" t="str">
        <f>LEFT(Table2[[#This Row],[Folder]],6)</f>
        <v>505971</v>
      </c>
      <c r="K67" t="s">
        <v>127</v>
      </c>
    </row>
    <row r="68" spans="5:11" ht="12" customHeight="1" x14ac:dyDescent="0.25">
      <c r="E68" t="s">
        <v>44</v>
      </c>
      <c r="F68" t="s">
        <v>211</v>
      </c>
      <c r="G68" s="1">
        <v>44676.676018518519</v>
      </c>
      <c r="H68" t="s">
        <v>86</v>
      </c>
      <c r="I68" s="2" t="s">
        <v>320</v>
      </c>
      <c r="J68" t="str">
        <f>LEFT(Table2[[#This Row],[Folder]],6)</f>
        <v>505845</v>
      </c>
      <c r="K68" t="s">
        <v>127</v>
      </c>
    </row>
    <row r="69" spans="5:11" ht="12" customHeight="1" x14ac:dyDescent="0.25">
      <c r="F69" t="s">
        <v>321</v>
      </c>
      <c r="G69" s="1">
        <v>44676.691388888888</v>
      </c>
      <c r="H69" t="s">
        <v>303</v>
      </c>
      <c r="I69" s="2" t="s">
        <v>217</v>
      </c>
      <c r="J69" t="str">
        <f>LEFT(Table2[[#This Row],[Folder]],6)</f>
        <v/>
      </c>
      <c r="K69" t="s">
        <v>127</v>
      </c>
    </row>
    <row r="70" spans="5:11" ht="12" customHeight="1" x14ac:dyDescent="0.25">
      <c r="E70" t="s">
        <v>44</v>
      </c>
      <c r="F70" t="s">
        <v>322</v>
      </c>
      <c r="G70" s="1">
        <v>44676.960520833331</v>
      </c>
      <c r="H70" t="s">
        <v>323</v>
      </c>
      <c r="I70" s="2" t="s">
        <v>324</v>
      </c>
      <c r="J70" t="str">
        <f>LEFT(Table2[[#This Row],[Folder]],6)</f>
        <v>505845</v>
      </c>
      <c r="K70" t="s">
        <v>127</v>
      </c>
    </row>
    <row r="71" spans="5:11" ht="12" customHeight="1" x14ac:dyDescent="0.25">
      <c r="F71" t="s">
        <v>106</v>
      </c>
      <c r="G71" s="1">
        <v>44677.348807870374</v>
      </c>
      <c r="H71" t="s">
        <v>107</v>
      </c>
      <c r="I71" s="2" t="s">
        <v>216</v>
      </c>
      <c r="J71" t="str">
        <f>LEFT(Table2[[#This Row],[Folder]],6)</f>
        <v/>
      </c>
      <c r="K71" t="s">
        <v>127</v>
      </c>
    </row>
    <row r="72" spans="5:11" ht="12" customHeight="1" x14ac:dyDescent="0.25">
      <c r="F72" t="s">
        <v>325</v>
      </c>
      <c r="G72" s="1">
        <v>44677.397465277776</v>
      </c>
      <c r="H72" t="s">
        <v>326</v>
      </c>
      <c r="I72" s="2" t="s">
        <v>327</v>
      </c>
      <c r="J72" t="str">
        <f>LEFT(Table2[[#This Row],[Folder]],6)</f>
        <v/>
      </c>
      <c r="K72" t="s">
        <v>127</v>
      </c>
    </row>
    <row r="73" spans="5:11" ht="12" customHeight="1" x14ac:dyDescent="0.25">
      <c r="F73" t="s">
        <v>328</v>
      </c>
      <c r="G73" s="1">
        <v>44677.401990740742</v>
      </c>
      <c r="H73" t="s">
        <v>112</v>
      </c>
      <c r="I73" s="2" t="s">
        <v>329</v>
      </c>
      <c r="J73" t="str">
        <f>LEFT(Table2[[#This Row],[Folder]],6)</f>
        <v/>
      </c>
      <c r="K73" t="s">
        <v>127</v>
      </c>
    </row>
    <row r="74" spans="5:11" ht="12" customHeight="1" x14ac:dyDescent="0.25">
      <c r="F74" t="s">
        <v>328</v>
      </c>
      <c r="G74" s="1">
        <v>44677.414988425924</v>
      </c>
      <c r="H74" t="s">
        <v>326</v>
      </c>
      <c r="I74" s="2" t="s">
        <v>330</v>
      </c>
      <c r="J74" t="str">
        <f>LEFT(Table2[[#This Row],[Folder]],6)</f>
        <v/>
      </c>
      <c r="K74" t="s">
        <v>127</v>
      </c>
    </row>
    <row r="75" spans="5:11" ht="12" customHeight="1" x14ac:dyDescent="0.25">
      <c r="F75" t="s">
        <v>331</v>
      </c>
      <c r="G75" s="1">
        <v>44677.458055555559</v>
      </c>
      <c r="H75" t="s">
        <v>60</v>
      </c>
      <c r="I75" s="2" t="s">
        <v>332</v>
      </c>
      <c r="J75" t="str">
        <f>LEFT(Table2[[#This Row],[Folder]],6)</f>
        <v/>
      </c>
      <c r="K75" t="s">
        <v>127</v>
      </c>
    </row>
    <row r="76" spans="5:11" ht="12" customHeight="1" x14ac:dyDescent="0.25">
      <c r="E76" t="s">
        <v>52</v>
      </c>
      <c r="F76" t="s">
        <v>333</v>
      </c>
      <c r="G76" s="1">
        <v>44677.459965277776</v>
      </c>
      <c r="H76" t="s">
        <v>101</v>
      </c>
      <c r="I76" s="2" t="s">
        <v>217</v>
      </c>
      <c r="J76" t="str">
        <f>LEFT(Table2[[#This Row],[Folder]],6)</f>
        <v>505955</v>
      </c>
      <c r="K76" t="s">
        <v>127</v>
      </c>
    </row>
    <row r="77" spans="5:11" ht="12" customHeight="1" x14ac:dyDescent="0.25">
      <c r="E77" t="s">
        <v>52</v>
      </c>
      <c r="F77" t="s">
        <v>333</v>
      </c>
      <c r="G77" s="1">
        <v>44677.471435185187</v>
      </c>
      <c r="H77" t="s">
        <v>101</v>
      </c>
      <c r="I77" s="2" t="s">
        <v>217</v>
      </c>
      <c r="J77" t="str">
        <f>LEFT(Table2[[#This Row],[Folder]],6)</f>
        <v>505955</v>
      </c>
      <c r="K77" t="s">
        <v>127</v>
      </c>
    </row>
    <row r="78" spans="5:11" ht="12" customHeight="1" x14ac:dyDescent="0.25">
      <c r="E78" t="s">
        <v>55</v>
      </c>
      <c r="F78" t="s">
        <v>131</v>
      </c>
      <c r="G78" s="1">
        <v>44677.471967592595</v>
      </c>
      <c r="H78" t="s">
        <v>334</v>
      </c>
      <c r="I78" s="2" t="s">
        <v>217</v>
      </c>
      <c r="J78" t="str">
        <f>LEFT(Table2[[#This Row],[Folder]],6)</f>
        <v>505742</v>
      </c>
      <c r="K78" t="s">
        <v>127</v>
      </c>
    </row>
    <row r="79" spans="5:11" ht="12" customHeight="1" x14ac:dyDescent="0.25">
      <c r="E79" t="s">
        <v>72</v>
      </c>
      <c r="F79" t="s">
        <v>335</v>
      </c>
      <c r="G79" s="1">
        <v>44677.5153587963</v>
      </c>
      <c r="H79" t="s">
        <v>101</v>
      </c>
      <c r="I79" s="2" t="s">
        <v>217</v>
      </c>
      <c r="J79" t="str">
        <f>LEFT(Table2[[#This Row],[Folder]],6)</f>
        <v>505978</v>
      </c>
      <c r="K79" t="s">
        <v>127</v>
      </c>
    </row>
    <row r="80" spans="5:11" ht="12" customHeight="1" x14ac:dyDescent="0.25">
      <c r="F80" t="s">
        <v>336</v>
      </c>
      <c r="G80" s="1">
        <v>44677.517557870371</v>
      </c>
      <c r="H80" t="s">
        <v>112</v>
      </c>
      <c r="I80" s="2" t="s">
        <v>337</v>
      </c>
      <c r="J80" t="str">
        <f>LEFT(Table2[[#This Row],[Folder]],6)</f>
        <v/>
      </c>
      <c r="K80" t="s">
        <v>127</v>
      </c>
    </row>
    <row r="81" spans="5:11" ht="12" customHeight="1" x14ac:dyDescent="0.25">
      <c r="F81" t="s">
        <v>338</v>
      </c>
      <c r="G81" s="1">
        <v>44677.548414351855</v>
      </c>
      <c r="H81" t="s">
        <v>97</v>
      </c>
      <c r="I81" s="2" t="s">
        <v>217</v>
      </c>
      <c r="J81" t="str">
        <f>LEFT(Table2[[#This Row],[Folder]],6)</f>
        <v/>
      </c>
      <c r="K81" t="s">
        <v>127</v>
      </c>
    </row>
    <row r="82" spans="5:11" ht="12" customHeight="1" x14ac:dyDescent="0.25">
      <c r="F82" t="s">
        <v>339</v>
      </c>
      <c r="G82" s="1">
        <v>44677.550856481481</v>
      </c>
      <c r="H82" t="s">
        <v>112</v>
      </c>
      <c r="I82" s="2" t="s">
        <v>340</v>
      </c>
      <c r="J82" t="str">
        <f>LEFT(Table2[[#This Row],[Folder]],6)</f>
        <v/>
      </c>
      <c r="K82" t="s">
        <v>127</v>
      </c>
    </row>
    <row r="83" spans="5:11" ht="12" customHeight="1" x14ac:dyDescent="0.25">
      <c r="E83" t="s">
        <v>72</v>
      </c>
      <c r="F83" t="s">
        <v>341</v>
      </c>
      <c r="G83" s="1">
        <v>44677.614907407406</v>
      </c>
      <c r="H83" t="s">
        <v>87</v>
      </c>
      <c r="I83" s="2" t="s">
        <v>342</v>
      </c>
      <c r="J83" t="str">
        <f>LEFT(Table2[[#This Row],[Folder]],6)</f>
        <v>505978</v>
      </c>
      <c r="K83" t="s">
        <v>127</v>
      </c>
    </row>
    <row r="84" spans="5:11" ht="12" customHeight="1" x14ac:dyDescent="0.25">
      <c r="E84" t="s">
        <v>72</v>
      </c>
      <c r="F84" t="s">
        <v>341</v>
      </c>
      <c r="G84" s="1">
        <v>44677.636793981481</v>
      </c>
      <c r="H84" t="s">
        <v>60</v>
      </c>
      <c r="I84" s="2" t="s">
        <v>343</v>
      </c>
      <c r="J84" t="str">
        <f>LEFT(Table2[[#This Row],[Folder]],6)</f>
        <v>505978</v>
      </c>
      <c r="K84" t="s">
        <v>127</v>
      </c>
    </row>
    <row r="85" spans="5:11" ht="12" customHeight="1" x14ac:dyDescent="0.25">
      <c r="E85" t="s">
        <v>72</v>
      </c>
      <c r="F85" t="s">
        <v>341</v>
      </c>
      <c r="G85" s="1">
        <v>44677.638298611113</v>
      </c>
      <c r="H85" t="s">
        <v>60</v>
      </c>
      <c r="I85" s="2" t="s">
        <v>344</v>
      </c>
      <c r="J85" t="str">
        <f>LEFT(Table2[[#This Row],[Folder]],6)</f>
        <v>505978</v>
      </c>
      <c r="K85" t="s">
        <v>127</v>
      </c>
    </row>
    <row r="86" spans="5:11" ht="12" customHeight="1" x14ac:dyDescent="0.25">
      <c r="F86" t="s">
        <v>345</v>
      </c>
      <c r="G86" s="1">
        <v>44677.649988425925</v>
      </c>
      <c r="H86" t="s">
        <v>298</v>
      </c>
      <c r="I86" s="2" t="s">
        <v>217</v>
      </c>
      <c r="J86" t="str">
        <f>LEFT(Table2[[#This Row],[Folder]],6)</f>
        <v/>
      </c>
      <c r="K86" t="s">
        <v>127</v>
      </c>
    </row>
    <row r="87" spans="5:11" ht="12" customHeight="1" x14ac:dyDescent="0.25">
      <c r="F87" t="s">
        <v>92</v>
      </c>
      <c r="G87" s="1">
        <v>44677.685150462959</v>
      </c>
      <c r="H87" t="s">
        <v>215</v>
      </c>
      <c r="I87" s="2" t="s">
        <v>346</v>
      </c>
      <c r="J87" t="str">
        <f>LEFT(Table2[[#This Row],[Folder]],6)</f>
        <v/>
      </c>
      <c r="K87" t="s">
        <v>127</v>
      </c>
    </row>
    <row r="88" spans="5:11" ht="12" customHeight="1" x14ac:dyDescent="0.25">
      <c r="E88" t="s">
        <v>44</v>
      </c>
      <c r="F88" t="s">
        <v>347</v>
      </c>
      <c r="G88" s="1">
        <v>44678.27138888889</v>
      </c>
      <c r="H88" t="s">
        <v>94</v>
      </c>
      <c r="I88" s="2" t="s">
        <v>348</v>
      </c>
      <c r="J88" t="str">
        <f>LEFT(Table2[[#This Row],[Folder]],6)</f>
        <v>505845</v>
      </c>
      <c r="K88" t="s">
        <v>127</v>
      </c>
    </row>
    <row r="89" spans="5:11" ht="12" customHeight="1" x14ac:dyDescent="0.25">
      <c r="F89" t="s">
        <v>106</v>
      </c>
      <c r="G89" s="1">
        <v>44678.250798611109</v>
      </c>
      <c r="H89" t="s">
        <v>107</v>
      </c>
      <c r="I89" s="2" t="s">
        <v>216</v>
      </c>
      <c r="J89" t="str">
        <f>LEFT(Table2[[#This Row],[Folder]],6)</f>
        <v/>
      </c>
      <c r="K89" t="s">
        <v>127</v>
      </c>
    </row>
    <row r="90" spans="5:11" ht="12" customHeight="1" x14ac:dyDescent="0.25">
      <c r="F90" t="s">
        <v>109</v>
      </c>
      <c r="G90" s="1">
        <v>44678.21056712963</v>
      </c>
      <c r="H90" t="s">
        <v>98</v>
      </c>
      <c r="I90" s="2" t="s">
        <v>218</v>
      </c>
      <c r="J90" t="str">
        <f>LEFT(Table2[[#This Row],[Folder]],6)</f>
        <v/>
      </c>
      <c r="K90" t="s">
        <v>127</v>
      </c>
    </row>
    <row r="91" spans="5:11" ht="12" customHeight="1" x14ac:dyDescent="0.25">
      <c r="F91" t="s">
        <v>349</v>
      </c>
      <c r="G91" s="1">
        <v>44678.13003472222</v>
      </c>
      <c r="H91" t="s">
        <v>350</v>
      </c>
      <c r="I91" s="2" t="s">
        <v>217</v>
      </c>
      <c r="J91" t="str">
        <f>LEFT(Table2[[#This Row],[Folder]],6)</f>
        <v/>
      </c>
      <c r="K91" t="s">
        <v>127</v>
      </c>
    </row>
    <row r="92" spans="5:11" ht="12" customHeight="1" x14ac:dyDescent="0.25">
      <c r="F92" t="s">
        <v>351</v>
      </c>
      <c r="G92" s="1">
        <v>44677.788043981483</v>
      </c>
      <c r="H92" t="s">
        <v>76</v>
      </c>
      <c r="I92" s="2" t="s">
        <v>352</v>
      </c>
      <c r="J92" t="str">
        <f>LEFT(Table2[[#This Row],[Folder]],6)</f>
        <v/>
      </c>
      <c r="K92" t="s">
        <v>127</v>
      </c>
    </row>
    <row r="93" spans="5:11" ht="12" customHeight="1" x14ac:dyDescent="0.25">
      <c r="E93" t="s">
        <v>44</v>
      </c>
      <c r="F93" t="s">
        <v>322</v>
      </c>
      <c r="G93" s="1">
        <v>44677.765775462962</v>
      </c>
      <c r="H93" t="s">
        <v>295</v>
      </c>
      <c r="I93" s="2" t="s">
        <v>353</v>
      </c>
      <c r="J93" t="str">
        <f>LEFT(Table2[[#This Row],[Folder]],6)</f>
        <v>505845</v>
      </c>
      <c r="K93" t="s">
        <v>127</v>
      </c>
    </row>
    <row r="94" spans="5:11" ht="12" customHeight="1" x14ac:dyDescent="0.25">
      <c r="F94" t="s">
        <v>354</v>
      </c>
      <c r="G94" s="1">
        <v>44677.719756944447</v>
      </c>
      <c r="H94" t="s">
        <v>112</v>
      </c>
      <c r="I94" s="2" t="s">
        <v>355</v>
      </c>
      <c r="J94" t="str">
        <f>LEFT(Table2[[#This Row],[Folder]],6)</f>
        <v/>
      </c>
      <c r="K94" t="s">
        <v>127</v>
      </c>
    </row>
    <row r="95" spans="5:11" ht="12" customHeight="1" x14ac:dyDescent="0.25">
      <c r="F95" t="s">
        <v>356</v>
      </c>
      <c r="G95" s="1">
        <v>44678.353564814817</v>
      </c>
      <c r="H95" t="s">
        <v>357</v>
      </c>
      <c r="I95" s="2" t="s">
        <v>358</v>
      </c>
      <c r="J95" t="str">
        <f>LEFT(Table2[[#This Row],[Folder]],6)</f>
        <v/>
      </c>
      <c r="K95" t="s">
        <v>127</v>
      </c>
    </row>
    <row r="96" spans="5:11" ht="12" customHeight="1" x14ac:dyDescent="0.25">
      <c r="F96" t="s">
        <v>359</v>
      </c>
      <c r="G96" s="1">
        <v>44678.362673611111</v>
      </c>
      <c r="H96" t="s">
        <v>357</v>
      </c>
      <c r="I96" s="2" t="s">
        <v>358</v>
      </c>
      <c r="J96" t="str">
        <f>LEFT(Table2[[#This Row],[Folder]],6)</f>
        <v/>
      </c>
      <c r="K96" t="s">
        <v>127</v>
      </c>
    </row>
    <row r="97" spans="5:11" ht="12" customHeight="1" x14ac:dyDescent="0.25">
      <c r="E97" t="s">
        <v>53</v>
      </c>
      <c r="F97" t="s">
        <v>360</v>
      </c>
      <c r="G97" s="1">
        <v>44678.402916666666</v>
      </c>
      <c r="H97" t="s">
        <v>114</v>
      </c>
      <c r="I97" s="2" t="s">
        <v>361</v>
      </c>
      <c r="J97" t="str">
        <f>LEFT(Table2[[#This Row],[Folder]],6)</f>
        <v>505971</v>
      </c>
      <c r="K97" t="s">
        <v>127</v>
      </c>
    </row>
    <row r="98" spans="5:11" ht="12" customHeight="1" x14ac:dyDescent="0.25">
      <c r="E98" t="s">
        <v>44</v>
      </c>
      <c r="F98" t="s">
        <v>362</v>
      </c>
      <c r="G98" s="1">
        <v>44678.407939814817</v>
      </c>
      <c r="H98" t="s">
        <v>84</v>
      </c>
      <c r="I98" s="2" t="s">
        <v>363</v>
      </c>
      <c r="J98" t="str">
        <f>LEFT(Table2[[#This Row],[Folder]],6)</f>
        <v>505845</v>
      </c>
      <c r="K98" t="s">
        <v>127</v>
      </c>
    </row>
    <row r="99" spans="5:11" ht="12" customHeight="1" x14ac:dyDescent="0.25">
      <c r="F99" t="s">
        <v>110</v>
      </c>
      <c r="G99" s="1">
        <v>44678.416921296295</v>
      </c>
      <c r="H99" t="s">
        <v>111</v>
      </c>
      <c r="I99" s="2" t="s">
        <v>364</v>
      </c>
      <c r="J99" t="str">
        <f>LEFT(Table2[[#This Row],[Folder]],6)</f>
        <v/>
      </c>
      <c r="K99" t="s">
        <v>127</v>
      </c>
    </row>
    <row r="100" spans="5:11" ht="12" customHeight="1" x14ac:dyDescent="0.25">
      <c r="E100" t="s">
        <v>44</v>
      </c>
      <c r="F100" t="s">
        <v>362</v>
      </c>
      <c r="G100" s="1">
        <v>44678.426412037035</v>
      </c>
      <c r="H100" t="s">
        <v>86</v>
      </c>
      <c r="I100" s="2" t="s">
        <v>365</v>
      </c>
      <c r="J100" t="str">
        <f>LEFT(Table2[[#This Row],[Folder]],6)</f>
        <v>505845</v>
      </c>
      <c r="K100" t="s">
        <v>127</v>
      </c>
    </row>
    <row r="101" spans="5:11" ht="12" customHeight="1" x14ac:dyDescent="0.25">
      <c r="E101" t="s">
        <v>44</v>
      </c>
      <c r="F101" t="s">
        <v>362</v>
      </c>
      <c r="G101" s="1">
        <v>44678.474259259259</v>
      </c>
      <c r="H101" t="s">
        <v>84</v>
      </c>
      <c r="I101" s="2" t="s">
        <v>366</v>
      </c>
      <c r="J101" t="str">
        <f>LEFT(Table2[[#This Row],[Folder]],6)</f>
        <v>505845</v>
      </c>
      <c r="K101" t="s">
        <v>127</v>
      </c>
    </row>
    <row r="102" spans="5:11" ht="12" customHeight="1" x14ac:dyDescent="0.25">
      <c r="E102" t="s">
        <v>44</v>
      </c>
      <c r="F102" t="s">
        <v>362</v>
      </c>
      <c r="G102" s="1">
        <v>44678.486527777779</v>
      </c>
      <c r="H102" t="s">
        <v>84</v>
      </c>
      <c r="I102" s="2" t="s">
        <v>367</v>
      </c>
      <c r="J102" t="str">
        <f>LEFT(Table2[[#This Row],[Folder]],6)</f>
        <v>505845</v>
      </c>
      <c r="K102" t="s">
        <v>127</v>
      </c>
    </row>
    <row r="103" spans="5:11" ht="12" customHeight="1" x14ac:dyDescent="0.25">
      <c r="E103" t="s">
        <v>44</v>
      </c>
      <c r="F103" t="s">
        <v>347</v>
      </c>
      <c r="G103" s="1">
        <v>44678.49527777778</v>
      </c>
      <c r="H103" t="s">
        <v>368</v>
      </c>
      <c r="I103" s="2" t="s">
        <v>369</v>
      </c>
      <c r="J103" t="str">
        <f>LEFT(Table2[[#This Row],[Folder]],6)</f>
        <v>505845</v>
      </c>
      <c r="K103" t="s">
        <v>127</v>
      </c>
    </row>
    <row r="104" spans="5:11" ht="12" customHeight="1" x14ac:dyDescent="0.25">
      <c r="F104" t="s">
        <v>370</v>
      </c>
      <c r="G104" s="1">
        <v>44678.496504629627</v>
      </c>
      <c r="H104" t="s">
        <v>86</v>
      </c>
      <c r="I104" s="2" t="s">
        <v>371</v>
      </c>
      <c r="J104" t="str">
        <f>LEFT(Table2[[#This Row],[Folder]],6)</f>
        <v/>
      </c>
      <c r="K104" t="s">
        <v>127</v>
      </c>
    </row>
    <row r="105" spans="5:11" ht="12" customHeight="1" x14ac:dyDescent="0.25">
      <c r="E105" t="s">
        <v>44</v>
      </c>
      <c r="F105" t="s">
        <v>362</v>
      </c>
      <c r="G105" s="1">
        <v>44678.496886574074</v>
      </c>
      <c r="H105" t="s">
        <v>86</v>
      </c>
      <c r="I105" s="2" t="s">
        <v>372</v>
      </c>
      <c r="J105" t="str">
        <f>LEFT(Table2[[#This Row],[Folder]],6)</f>
        <v>505845</v>
      </c>
      <c r="K105" t="s">
        <v>127</v>
      </c>
    </row>
    <row r="106" spans="5:11" ht="12" customHeight="1" x14ac:dyDescent="0.25">
      <c r="F106" t="s">
        <v>373</v>
      </c>
      <c r="G106" s="1">
        <v>44678.4996875</v>
      </c>
      <c r="H106" t="s">
        <v>60</v>
      </c>
      <c r="I106" s="2" t="s">
        <v>374</v>
      </c>
      <c r="J106" t="str">
        <f>LEFT(Table2[[#This Row],[Folder]],6)</f>
        <v/>
      </c>
      <c r="K106" t="s">
        <v>127</v>
      </c>
    </row>
    <row r="107" spans="5:11" ht="12" customHeight="1" x14ac:dyDescent="0.25">
      <c r="F107" t="s">
        <v>375</v>
      </c>
      <c r="G107" s="1">
        <v>44678.518460648149</v>
      </c>
      <c r="H107" t="s">
        <v>376</v>
      </c>
      <c r="I107" s="2" t="s">
        <v>377</v>
      </c>
      <c r="J107" t="str">
        <f>LEFT(Table2[[#This Row],[Folder]],6)</f>
        <v/>
      </c>
      <c r="K107" t="s">
        <v>127</v>
      </c>
    </row>
    <row r="108" spans="5:11" ht="12" customHeight="1" x14ac:dyDescent="0.25">
      <c r="F108" t="s">
        <v>375</v>
      </c>
      <c r="G108" s="1">
        <v>44678.640659722223</v>
      </c>
      <c r="H108" t="s">
        <v>378</v>
      </c>
      <c r="I108" s="2" t="s">
        <v>379</v>
      </c>
      <c r="J108" t="str">
        <f>LEFT(Table2[[#This Row],[Folder]],6)</f>
        <v/>
      </c>
      <c r="K108" t="s">
        <v>127</v>
      </c>
    </row>
    <row r="109" spans="5:11" ht="12" customHeight="1" x14ac:dyDescent="0.25">
      <c r="F109" t="s">
        <v>375</v>
      </c>
      <c r="G109" s="1">
        <v>44678.64738425926</v>
      </c>
      <c r="H109" t="s">
        <v>376</v>
      </c>
      <c r="I109" s="2" t="s">
        <v>380</v>
      </c>
      <c r="J109" t="str">
        <f>LEFT(Table2[[#This Row],[Folder]],6)</f>
        <v/>
      </c>
      <c r="K109" t="s">
        <v>127</v>
      </c>
    </row>
    <row r="110" spans="5:11" ht="12" customHeight="1" x14ac:dyDescent="0.25">
      <c r="F110" t="s">
        <v>354</v>
      </c>
      <c r="G110" s="1">
        <v>44678.648738425924</v>
      </c>
      <c r="H110" t="s">
        <v>60</v>
      </c>
      <c r="I110" s="2" t="s">
        <v>381</v>
      </c>
      <c r="J110" t="str">
        <f>LEFT(Table2[[#This Row],[Folder]],6)</f>
        <v/>
      </c>
      <c r="K110" t="s">
        <v>127</v>
      </c>
    </row>
    <row r="111" spans="5:11" ht="12" customHeight="1" x14ac:dyDescent="0.25">
      <c r="F111" t="s">
        <v>382</v>
      </c>
      <c r="G111" s="1">
        <v>44678.685706018521</v>
      </c>
      <c r="H111" t="s">
        <v>82</v>
      </c>
      <c r="I111" s="2" t="s">
        <v>383</v>
      </c>
      <c r="J111" t="str">
        <f>LEFT(Table2[[#This Row],[Folder]],6)</f>
        <v/>
      </c>
      <c r="K111" t="s">
        <v>127</v>
      </c>
    </row>
    <row r="112" spans="5:11" ht="12" customHeight="1" x14ac:dyDescent="0.25">
      <c r="F112" t="s">
        <v>354</v>
      </c>
      <c r="G112" s="1">
        <v>44678.693854166668</v>
      </c>
      <c r="H112" t="s">
        <v>326</v>
      </c>
      <c r="I112" s="2" t="s">
        <v>384</v>
      </c>
      <c r="J112" t="str">
        <f>LEFT(Table2[[#This Row],[Folder]],6)</f>
        <v/>
      </c>
      <c r="K112" t="s">
        <v>127</v>
      </c>
    </row>
    <row r="113" spans="5:11" ht="12" customHeight="1" x14ac:dyDescent="0.25">
      <c r="F113" t="s">
        <v>375</v>
      </c>
      <c r="G113" s="1">
        <v>44678.704097222224</v>
      </c>
      <c r="H113" t="s">
        <v>376</v>
      </c>
      <c r="I113" s="2" t="s">
        <v>385</v>
      </c>
      <c r="J113" t="str">
        <f>LEFT(Table2[[#This Row],[Folder]],6)</f>
        <v/>
      </c>
      <c r="K113" t="s">
        <v>127</v>
      </c>
    </row>
    <row r="114" spans="5:11" ht="12" customHeight="1" x14ac:dyDescent="0.25">
      <c r="F114" t="s">
        <v>61</v>
      </c>
      <c r="G114" s="1">
        <v>44679.020671296297</v>
      </c>
      <c r="H114" t="s">
        <v>62</v>
      </c>
      <c r="I114" s="2" t="s">
        <v>219</v>
      </c>
      <c r="J114" t="str">
        <f>LEFT(Table2[[#This Row],[Folder]],6)</f>
        <v/>
      </c>
      <c r="K114" t="s">
        <v>127</v>
      </c>
    </row>
    <row r="115" spans="5:11" ht="12" customHeight="1" x14ac:dyDescent="0.25">
      <c r="F115" t="s">
        <v>386</v>
      </c>
      <c r="G115" s="1">
        <v>44679.371967592589</v>
      </c>
      <c r="H115" t="s">
        <v>94</v>
      </c>
      <c r="I115" s="2" t="s">
        <v>387</v>
      </c>
      <c r="J115" t="str">
        <f>LEFT(Table2[[#This Row],[Folder]],6)</f>
        <v/>
      </c>
      <c r="K115" t="s">
        <v>127</v>
      </c>
    </row>
    <row r="116" spans="5:11" ht="12" customHeight="1" x14ac:dyDescent="0.25">
      <c r="F116" t="s">
        <v>106</v>
      </c>
      <c r="G116" s="1">
        <v>44679.372789351852</v>
      </c>
      <c r="H116" t="s">
        <v>107</v>
      </c>
      <c r="I116" s="2" t="s">
        <v>216</v>
      </c>
      <c r="J116" t="str">
        <f>LEFT(Table2[[#This Row],[Folder]],6)</f>
        <v/>
      </c>
      <c r="K116" t="s">
        <v>127</v>
      </c>
    </row>
    <row r="117" spans="5:11" ht="12" customHeight="1" x14ac:dyDescent="0.25">
      <c r="F117" t="s">
        <v>388</v>
      </c>
      <c r="G117" s="1">
        <v>44679.374537037038</v>
      </c>
      <c r="H117" t="s">
        <v>389</v>
      </c>
      <c r="I117" s="2" t="s">
        <v>390</v>
      </c>
      <c r="J117" t="str">
        <f>LEFT(Table2[[#This Row],[Folder]],6)</f>
        <v/>
      </c>
      <c r="K117" t="s">
        <v>127</v>
      </c>
    </row>
    <row r="118" spans="5:11" ht="12" customHeight="1" x14ac:dyDescent="0.25">
      <c r="F118" t="s">
        <v>391</v>
      </c>
      <c r="G118" s="1">
        <v>44679.382418981484</v>
      </c>
      <c r="H118" t="s">
        <v>94</v>
      </c>
      <c r="I118" s="2" t="s">
        <v>392</v>
      </c>
      <c r="J118" t="str">
        <f>LEFT(Table2[[#This Row],[Folder]],6)</f>
        <v/>
      </c>
      <c r="K118" t="s">
        <v>127</v>
      </c>
    </row>
    <row r="119" spans="5:11" ht="12" customHeight="1" x14ac:dyDescent="0.25">
      <c r="F119" t="s">
        <v>129</v>
      </c>
      <c r="G119" s="1">
        <v>44679.403344907405</v>
      </c>
      <c r="H119" t="s">
        <v>113</v>
      </c>
      <c r="I119" s="2" t="s">
        <v>220</v>
      </c>
      <c r="J119" t="str">
        <f>LEFT(Table2[[#This Row],[Folder]],6)</f>
        <v/>
      </c>
      <c r="K119" t="s">
        <v>127</v>
      </c>
    </row>
    <row r="120" spans="5:11" ht="12" customHeight="1" x14ac:dyDescent="0.25">
      <c r="E120" t="s">
        <v>128</v>
      </c>
      <c r="F120" t="s">
        <v>393</v>
      </c>
      <c r="G120" s="1">
        <v>44679.404236111113</v>
      </c>
      <c r="H120" t="s">
        <v>74</v>
      </c>
      <c r="I120" s="2" t="s">
        <v>394</v>
      </c>
      <c r="J120" t="str">
        <f>LEFT(Table2[[#This Row],[Folder]],6)</f>
        <v>505983</v>
      </c>
      <c r="K120" t="s">
        <v>127</v>
      </c>
    </row>
    <row r="121" spans="5:11" ht="12" customHeight="1" x14ac:dyDescent="0.25">
      <c r="F121" t="s">
        <v>395</v>
      </c>
      <c r="G121" s="1">
        <v>44679.430219907408</v>
      </c>
      <c r="H121" t="s">
        <v>396</v>
      </c>
      <c r="I121" s="2" t="s">
        <v>218</v>
      </c>
      <c r="J121" t="str">
        <f>LEFT(Table2[[#This Row],[Folder]],6)</f>
        <v/>
      </c>
      <c r="K121" t="s">
        <v>127</v>
      </c>
    </row>
    <row r="122" spans="5:11" ht="12" customHeight="1" x14ac:dyDescent="0.25">
      <c r="F122" t="s">
        <v>397</v>
      </c>
      <c r="G122" s="1">
        <v>44679.430532407408</v>
      </c>
      <c r="H122" t="s">
        <v>91</v>
      </c>
      <c r="I122" s="2" t="s">
        <v>398</v>
      </c>
      <c r="J122" t="str">
        <f>LEFT(Table2[[#This Row],[Folder]],6)</f>
        <v/>
      </c>
      <c r="K122" t="s">
        <v>127</v>
      </c>
    </row>
    <row r="123" spans="5:11" ht="12" customHeight="1" x14ac:dyDescent="0.25">
      <c r="E123" t="s">
        <v>44</v>
      </c>
      <c r="F123" t="s">
        <v>362</v>
      </c>
      <c r="G123" s="1">
        <v>44679.441006944442</v>
      </c>
      <c r="H123" t="s">
        <v>84</v>
      </c>
      <c r="I123" s="2" t="s">
        <v>399</v>
      </c>
      <c r="J123" t="str">
        <f>LEFT(Table2[[#This Row],[Folder]],6)</f>
        <v>505845</v>
      </c>
      <c r="K123" t="s">
        <v>127</v>
      </c>
    </row>
    <row r="124" spans="5:11" ht="12" customHeight="1" x14ac:dyDescent="0.25">
      <c r="F124" t="s">
        <v>397</v>
      </c>
      <c r="G124" s="1">
        <v>44679.444224537037</v>
      </c>
      <c r="H124" t="s">
        <v>91</v>
      </c>
      <c r="I124" s="2" t="s">
        <v>400</v>
      </c>
      <c r="J124" t="str">
        <f>LEFT(Table2[[#This Row],[Folder]],6)</f>
        <v/>
      </c>
      <c r="K124" t="s">
        <v>127</v>
      </c>
    </row>
    <row r="125" spans="5:11" ht="12" customHeight="1" x14ac:dyDescent="0.25">
      <c r="E125" t="s">
        <v>285</v>
      </c>
      <c r="F125" t="s">
        <v>401</v>
      </c>
      <c r="G125" s="1">
        <v>44679.460752314815</v>
      </c>
      <c r="H125" t="s">
        <v>301</v>
      </c>
      <c r="I125" s="2" t="s">
        <v>402</v>
      </c>
      <c r="J125" t="str">
        <f>LEFT(Table2[[#This Row],[Folder]],6)</f>
        <v>505967</v>
      </c>
      <c r="K125" t="s">
        <v>127</v>
      </c>
    </row>
    <row r="126" spans="5:11" ht="12" customHeight="1" x14ac:dyDescent="0.25">
      <c r="F126" t="s">
        <v>338</v>
      </c>
      <c r="G126" s="1">
        <v>44679.500289351854</v>
      </c>
      <c r="H126" t="s">
        <v>114</v>
      </c>
      <c r="I126" s="2" t="s">
        <v>403</v>
      </c>
      <c r="J126" t="str">
        <f>LEFT(Table2[[#This Row],[Folder]],6)</f>
        <v/>
      </c>
      <c r="K126" t="s">
        <v>127</v>
      </c>
    </row>
    <row r="127" spans="5:11" ht="12" customHeight="1" x14ac:dyDescent="0.25">
      <c r="F127" t="s">
        <v>354</v>
      </c>
      <c r="G127" s="1">
        <v>44679.588252314818</v>
      </c>
      <c r="H127" t="s">
        <v>60</v>
      </c>
      <c r="I127" s="2" t="s">
        <v>404</v>
      </c>
      <c r="J127" t="str">
        <f>LEFT(Table2[[#This Row],[Folder]],6)</f>
        <v/>
      </c>
      <c r="K127" t="s">
        <v>127</v>
      </c>
    </row>
    <row r="128" spans="5:11" ht="12" customHeight="1" x14ac:dyDescent="0.25">
      <c r="F128" t="s">
        <v>354</v>
      </c>
      <c r="G128" s="1">
        <v>44679.58797453704</v>
      </c>
      <c r="H128" t="s">
        <v>60</v>
      </c>
      <c r="I128" s="2" t="s">
        <v>405</v>
      </c>
      <c r="J128" t="str">
        <f>LEFT(Table2[[#This Row],[Folder]],6)</f>
        <v/>
      </c>
      <c r="K128" t="s">
        <v>127</v>
      </c>
    </row>
    <row r="129" spans="5:11" ht="12" customHeight="1" x14ac:dyDescent="0.25">
      <c r="F129" t="s">
        <v>406</v>
      </c>
      <c r="G129" s="1">
        <v>44679.587893518517</v>
      </c>
      <c r="H129" t="s">
        <v>357</v>
      </c>
      <c r="I129" s="2" t="s">
        <v>358</v>
      </c>
      <c r="J129" t="str">
        <f>LEFT(Table2[[#This Row],[Folder]],6)</f>
        <v/>
      </c>
      <c r="K129" t="s">
        <v>127</v>
      </c>
    </row>
    <row r="130" spans="5:11" ht="12" customHeight="1" x14ac:dyDescent="0.25">
      <c r="F130" t="s">
        <v>406</v>
      </c>
      <c r="G130" s="1">
        <v>44679.586840277778</v>
      </c>
      <c r="H130" t="s">
        <v>357</v>
      </c>
      <c r="I130" s="2" t="s">
        <v>358</v>
      </c>
      <c r="J130" t="str">
        <f>LEFT(Table2[[#This Row],[Folder]],6)</f>
        <v/>
      </c>
      <c r="K130" t="s">
        <v>127</v>
      </c>
    </row>
    <row r="131" spans="5:11" ht="12" customHeight="1" x14ac:dyDescent="0.25">
      <c r="E131" t="s">
        <v>128</v>
      </c>
      <c r="F131" t="s">
        <v>407</v>
      </c>
      <c r="G131" s="1">
        <v>44679.581863425927</v>
      </c>
      <c r="H131" t="s">
        <v>303</v>
      </c>
      <c r="I131" s="2" t="s">
        <v>217</v>
      </c>
      <c r="J131" t="str">
        <f>LEFT(Table2[[#This Row],[Folder]],6)</f>
        <v>505983</v>
      </c>
      <c r="K131" t="s">
        <v>127</v>
      </c>
    </row>
    <row r="132" spans="5:11" ht="12" customHeight="1" x14ac:dyDescent="0.25">
      <c r="E132" t="s">
        <v>128</v>
      </c>
      <c r="F132" t="s">
        <v>407</v>
      </c>
      <c r="G132" s="1">
        <v>44679.593958333331</v>
      </c>
      <c r="H132" t="s">
        <v>309</v>
      </c>
      <c r="I132" s="2" t="s">
        <v>408</v>
      </c>
      <c r="J132" t="str">
        <f>LEFT(Table2[[#This Row],[Folder]],6)</f>
        <v>505983</v>
      </c>
      <c r="K132" t="s">
        <v>127</v>
      </c>
    </row>
    <row r="133" spans="5:11" ht="12" customHeight="1" x14ac:dyDescent="0.25">
      <c r="F133" t="s">
        <v>409</v>
      </c>
      <c r="G133" s="1">
        <v>44679.617986111109</v>
      </c>
      <c r="H133" t="s">
        <v>91</v>
      </c>
      <c r="I133" s="2" t="s">
        <v>410</v>
      </c>
      <c r="J133" t="str">
        <f>LEFT(Table2[[#This Row],[Folder]],6)</f>
        <v/>
      </c>
      <c r="K133" t="s">
        <v>127</v>
      </c>
    </row>
    <row r="134" spans="5:11" ht="12" customHeight="1" x14ac:dyDescent="0.25">
      <c r="F134" t="s">
        <v>338</v>
      </c>
      <c r="G134" s="1">
        <v>44679.625057870369</v>
      </c>
      <c r="H134" t="s">
        <v>97</v>
      </c>
      <c r="I134" s="2" t="s">
        <v>217</v>
      </c>
      <c r="J134" t="str">
        <f>LEFT(Table2[[#This Row],[Folder]],6)</f>
        <v/>
      </c>
      <c r="K134" t="s">
        <v>127</v>
      </c>
    </row>
    <row r="135" spans="5:11" ht="12" customHeight="1" x14ac:dyDescent="0.25">
      <c r="F135" t="s">
        <v>354</v>
      </c>
      <c r="G135" s="1">
        <v>44679.682395833333</v>
      </c>
      <c r="H135" t="s">
        <v>326</v>
      </c>
      <c r="I135" s="2" t="s">
        <v>411</v>
      </c>
      <c r="J135" t="str">
        <f>LEFT(Table2[[#This Row],[Folder]],6)</f>
        <v/>
      </c>
      <c r="K135" t="s">
        <v>127</v>
      </c>
    </row>
    <row r="136" spans="5:11" ht="12" customHeight="1" x14ac:dyDescent="0.25">
      <c r="F136" t="s">
        <v>412</v>
      </c>
      <c r="G136" s="1">
        <v>44679.696006944447</v>
      </c>
      <c r="H136" t="s">
        <v>86</v>
      </c>
      <c r="I136" s="2" t="s">
        <v>413</v>
      </c>
      <c r="J136" t="str">
        <f>LEFT(Table2[[#This Row],[Folder]],6)</f>
        <v/>
      </c>
      <c r="K136" t="s">
        <v>127</v>
      </c>
    </row>
    <row r="137" spans="5:11" ht="12" customHeight="1" x14ac:dyDescent="0.25">
      <c r="F137" t="s">
        <v>414</v>
      </c>
      <c r="G137" s="1">
        <v>44679.700925925928</v>
      </c>
      <c r="H137" t="s">
        <v>62</v>
      </c>
      <c r="I137" s="2" t="s">
        <v>415</v>
      </c>
      <c r="J137" t="str">
        <f>LEFT(Table2[[#This Row],[Folder]],6)</f>
        <v/>
      </c>
      <c r="K137" t="s">
        <v>127</v>
      </c>
    </row>
    <row r="138" spans="5:11" ht="12" customHeight="1" x14ac:dyDescent="0.25">
      <c r="F138" t="s">
        <v>338</v>
      </c>
      <c r="G138" s="1">
        <v>44679.96702546296</v>
      </c>
      <c r="H138" t="s">
        <v>97</v>
      </c>
      <c r="I138" s="2" t="s">
        <v>217</v>
      </c>
      <c r="J138" t="str">
        <f>LEFT(Table2[[#This Row],[Folder]],6)</f>
        <v/>
      </c>
      <c r="K138" t="s">
        <v>127</v>
      </c>
    </row>
    <row r="139" spans="5:11" ht="12" customHeight="1" x14ac:dyDescent="0.25">
      <c r="F139" t="s">
        <v>61</v>
      </c>
      <c r="G139" s="1">
        <v>44680.014120370368</v>
      </c>
      <c r="H139" t="s">
        <v>62</v>
      </c>
      <c r="I139" s="2" t="s">
        <v>219</v>
      </c>
      <c r="J139" t="str">
        <f>LEFT(Table2[[#This Row],[Folder]],6)</f>
        <v/>
      </c>
      <c r="K139" t="s">
        <v>127</v>
      </c>
    </row>
    <row r="140" spans="5:11" ht="12" customHeight="1" x14ac:dyDescent="0.25">
      <c r="F140" t="s">
        <v>106</v>
      </c>
      <c r="G140" s="1">
        <v>44680.214143518519</v>
      </c>
      <c r="H140" t="s">
        <v>107</v>
      </c>
      <c r="I140" s="2" t="s">
        <v>216</v>
      </c>
      <c r="J140" t="str">
        <f>LEFT(Table2[[#This Row],[Folder]],6)</f>
        <v/>
      </c>
      <c r="K140" t="s">
        <v>127</v>
      </c>
    </row>
    <row r="141" spans="5:11" ht="12" customHeight="1" x14ac:dyDescent="0.25">
      <c r="E141" t="s">
        <v>128</v>
      </c>
      <c r="F141" t="s">
        <v>393</v>
      </c>
      <c r="G141" s="1">
        <v>44680.412812499999</v>
      </c>
      <c r="H141" t="s">
        <v>87</v>
      </c>
      <c r="I141" s="2" t="s">
        <v>416</v>
      </c>
      <c r="J141" t="str">
        <f>LEFT(Table2[[#This Row],[Folder]],6)</f>
        <v>505983</v>
      </c>
      <c r="K141" t="s">
        <v>127</v>
      </c>
    </row>
    <row r="142" spans="5:11" ht="12" customHeight="1" x14ac:dyDescent="0.25">
      <c r="F142" t="s">
        <v>338</v>
      </c>
      <c r="G142" s="1">
        <v>44680.42496527778</v>
      </c>
      <c r="H142" t="s">
        <v>114</v>
      </c>
      <c r="I142" s="2" t="s">
        <v>403</v>
      </c>
      <c r="J142" t="str">
        <f>LEFT(Table2[[#This Row],[Folder]],6)</f>
        <v/>
      </c>
      <c r="K142" t="s">
        <v>127</v>
      </c>
    </row>
    <row r="143" spans="5:11" ht="12" customHeight="1" x14ac:dyDescent="0.25">
      <c r="F143" t="s">
        <v>417</v>
      </c>
      <c r="G143" s="1">
        <v>44680.574537037035</v>
      </c>
      <c r="H143" t="s">
        <v>82</v>
      </c>
      <c r="I143" s="2" t="s">
        <v>418</v>
      </c>
      <c r="J143" t="str">
        <f>LEFT(Table2[[#This Row],[Folder]],6)</f>
        <v/>
      </c>
      <c r="K143" t="s">
        <v>127</v>
      </c>
    </row>
    <row r="144" spans="5:11" ht="12" customHeight="1" x14ac:dyDescent="0.25">
      <c r="F144" t="s">
        <v>419</v>
      </c>
      <c r="G144" s="1">
        <v>44680.595891203702</v>
      </c>
      <c r="H144" t="s">
        <v>115</v>
      </c>
      <c r="I144" s="2" t="s">
        <v>420</v>
      </c>
      <c r="J144" t="str">
        <f>LEFT(Table2[[#This Row],[Folder]],6)</f>
        <v/>
      </c>
      <c r="K144" t="s">
        <v>127</v>
      </c>
    </row>
    <row r="145" spans="5:11" ht="12" customHeight="1" x14ac:dyDescent="0.25">
      <c r="F145" t="s">
        <v>421</v>
      </c>
      <c r="G145" s="1">
        <v>44680.604328703703</v>
      </c>
      <c r="H145" t="s">
        <v>422</v>
      </c>
      <c r="I145" s="2" t="s">
        <v>423</v>
      </c>
      <c r="J145" t="str">
        <f>LEFT(Table2[[#This Row],[Folder]],6)</f>
        <v/>
      </c>
      <c r="K145" t="s">
        <v>127</v>
      </c>
    </row>
    <row r="146" spans="5:11" ht="12" customHeight="1" x14ac:dyDescent="0.25">
      <c r="E146" t="s">
        <v>128</v>
      </c>
      <c r="F146" t="s">
        <v>407</v>
      </c>
      <c r="G146" s="1">
        <v>44680.628599537034</v>
      </c>
      <c r="H146" t="s">
        <v>424</v>
      </c>
      <c r="I146" s="2" t="s">
        <v>217</v>
      </c>
      <c r="J146" t="str">
        <f>LEFT(Table2[[#This Row],[Folder]],6)</f>
        <v>505983</v>
      </c>
      <c r="K146" t="s">
        <v>127</v>
      </c>
    </row>
    <row r="147" spans="5:11" ht="12" customHeight="1" x14ac:dyDescent="0.25">
      <c r="G147" s="1"/>
      <c r="I147" s="2"/>
      <c r="J147" t="str">
        <f>LEFT(Table2[[#This Row],[Folder]],6)</f>
        <v/>
      </c>
    </row>
    <row r="148" spans="5:11" ht="12" customHeight="1" x14ac:dyDescent="0.25">
      <c r="G148" s="1"/>
      <c r="I148" s="2"/>
      <c r="J148" t="str">
        <f>LEFT(Table2[[#This Row],[Folder]],6)</f>
        <v/>
      </c>
    </row>
    <row r="149" spans="5:11" ht="12" customHeight="1" x14ac:dyDescent="0.25">
      <c r="G149" s="1"/>
      <c r="I149" s="2"/>
      <c r="J149" t="str">
        <f>LEFT(Table2[[#This Row],[Folder]],6)</f>
        <v/>
      </c>
    </row>
    <row r="150" spans="5:11" ht="12" customHeight="1" x14ac:dyDescent="0.25">
      <c r="G150" s="1"/>
      <c r="I150" s="2"/>
      <c r="J150" t="str">
        <f>LEFT(Table2[[#This Row],[Folder]],6)</f>
        <v/>
      </c>
    </row>
    <row r="151" spans="5:11" ht="12" customHeight="1" x14ac:dyDescent="0.25">
      <c r="G151" s="1"/>
      <c r="I151" s="2"/>
      <c r="J151" t="str">
        <f>LEFT(Table2[[#This Row],[Folder]],6)</f>
        <v/>
      </c>
    </row>
    <row r="152" spans="5:11" ht="12" customHeight="1" x14ac:dyDescent="0.25">
      <c r="G152" s="1"/>
      <c r="I152" s="2"/>
      <c r="J152" t="str">
        <f>LEFT(Table2[[#This Row],[Folder]],6)</f>
        <v/>
      </c>
    </row>
    <row r="153" spans="5:11" ht="12" customHeight="1" x14ac:dyDescent="0.25">
      <c r="G153" s="1"/>
      <c r="I153" s="2"/>
      <c r="J153" t="str">
        <f>LEFT(Table2[[#This Row],[Folder]],6)</f>
        <v/>
      </c>
    </row>
    <row r="154" spans="5:11" ht="12" customHeight="1" x14ac:dyDescent="0.25">
      <c r="G154" s="1"/>
      <c r="I154" s="2"/>
      <c r="J154" t="str">
        <f>LEFT(Table2[[#This Row],[Folder]],6)</f>
        <v/>
      </c>
    </row>
    <row r="155" spans="5:11" ht="12" customHeight="1" x14ac:dyDescent="0.25">
      <c r="G155" s="1"/>
      <c r="I155" s="2"/>
      <c r="J155" t="str">
        <f>LEFT(Table2[[#This Row],[Folder]],6)</f>
        <v/>
      </c>
    </row>
    <row r="156" spans="5:11" ht="12" customHeight="1" x14ac:dyDescent="0.25">
      <c r="G156" s="1"/>
      <c r="I156" s="2"/>
      <c r="J156" t="str">
        <f>LEFT(Table2[[#This Row],[Folder]],6)</f>
        <v/>
      </c>
    </row>
    <row r="157" spans="5:11" ht="12" customHeight="1" x14ac:dyDescent="0.25">
      <c r="G157" s="1"/>
      <c r="I157" s="2"/>
      <c r="J157" t="str">
        <f>LEFT(Table2[[#This Row],[Folder]],6)</f>
        <v/>
      </c>
    </row>
    <row r="158" spans="5:11" ht="12" customHeight="1" x14ac:dyDescent="0.25">
      <c r="G158" s="1"/>
      <c r="I158" s="2"/>
      <c r="J158" t="str">
        <f>LEFT(Table2[[#This Row],[Folder]],6)</f>
        <v/>
      </c>
    </row>
    <row r="159" spans="5:11" ht="12" customHeight="1" x14ac:dyDescent="0.25">
      <c r="G159" s="1"/>
      <c r="I159" s="2"/>
      <c r="J159" t="str">
        <f>LEFT(Table2[[#This Row],[Folder]],6)</f>
        <v/>
      </c>
    </row>
    <row r="160" spans="5:11" ht="12" customHeight="1" x14ac:dyDescent="0.25">
      <c r="G160" s="1"/>
      <c r="I160" s="2"/>
      <c r="J160" t="str">
        <f>LEFT(Table2[[#This Row],[Folder]],6)</f>
        <v/>
      </c>
    </row>
    <row r="161" spans="7:10" ht="12" customHeight="1" x14ac:dyDescent="0.25">
      <c r="G161" s="1"/>
      <c r="I161" s="2"/>
      <c r="J161" t="str">
        <f>LEFT(Table2[[#This Row],[Folder]],6)</f>
        <v/>
      </c>
    </row>
    <row r="162" spans="7:10" ht="12" customHeight="1" x14ac:dyDescent="0.25">
      <c r="G162" s="1"/>
      <c r="I162" s="2"/>
      <c r="J162" t="str">
        <f>LEFT(Table2[[#This Row],[Folder]],6)</f>
        <v/>
      </c>
    </row>
    <row r="163" spans="7:10" ht="12" customHeight="1" x14ac:dyDescent="0.25">
      <c r="G163" s="1"/>
      <c r="I163" s="2"/>
      <c r="J163" t="str">
        <f>LEFT(Table2[[#This Row],[Folder]],6)</f>
        <v/>
      </c>
    </row>
    <row r="164" spans="7:10" ht="12" customHeight="1" x14ac:dyDescent="0.25">
      <c r="G164" s="1"/>
      <c r="I164" s="2"/>
      <c r="J164" t="str">
        <f>LEFT(Table2[[#This Row],[Folder]],6)</f>
        <v/>
      </c>
    </row>
    <row r="165" spans="7:10" ht="12" customHeight="1" x14ac:dyDescent="0.25">
      <c r="G165" s="1"/>
      <c r="I165" s="2"/>
      <c r="J165" t="str">
        <f>LEFT(Table2[[#This Row],[Folder]],6)</f>
        <v/>
      </c>
    </row>
    <row r="166" spans="7:10" ht="12" customHeight="1" x14ac:dyDescent="0.25">
      <c r="G166" s="1"/>
      <c r="I166" s="2"/>
      <c r="J166" t="str">
        <f>LEFT(Table2[[#This Row],[Folder]],6)</f>
        <v/>
      </c>
    </row>
    <row r="167" spans="7:10" ht="12" customHeight="1" x14ac:dyDescent="0.25">
      <c r="G167" s="1"/>
      <c r="I167" s="2"/>
      <c r="J167" t="str">
        <f>LEFT(Table2[[#This Row],[Folder]],6)</f>
        <v/>
      </c>
    </row>
    <row r="168" spans="7:10" ht="12" customHeight="1" x14ac:dyDescent="0.25">
      <c r="G168" s="1"/>
      <c r="I168" s="2"/>
      <c r="J168" t="str">
        <f>LEFT(Table2[[#This Row],[Folder]],6)</f>
        <v/>
      </c>
    </row>
    <row r="169" spans="7:10" ht="12" customHeight="1" x14ac:dyDescent="0.25">
      <c r="G169" s="1"/>
      <c r="I169" s="2"/>
      <c r="J169" t="str">
        <f>LEFT(Table2[[#This Row],[Folder]],6)</f>
        <v/>
      </c>
    </row>
    <row r="170" spans="7:10" ht="12" customHeight="1" x14ac:dyDescent="0.25">
      <c r="G170" s="1"/>
      <c r="I170" s="2"/>
      <c r="J170" t="str">
        <f>LEFT(Table2[[#This Row],[Folder]],6)</f>
        <v/>
      </c>
    </row>
    <row r="171" spans="7:10" ht="12" customHeight="1" x14ac:dyDescent="0.25">
      <c r="G171" s="1"/>
      <c r="I171" s="2"/>
      <c r="J171" t="str">
        <f>LEFT(Table2[[#This Row],[Folder]],6)</f>
        <v/>
      </c>
    </row>
    <row r="172" spans="7:10" ht="12" customHeight="1" x14ac:dyDescent="0.25">
      <c r="G172" s="1"/>
      <c r="I172" s="2"/>
      <c r="J172" t="str">
        <f>LEFT(Table2[[#This Row],[Folder]],6)</f>
        <v/>
      </c>
    </row>
    <row r="173" spans="7:10" ht="12" customHeight="1" x14ac:dyDescent="0.25">
      <c r="G173" s="1"/>
      <c r="I173" s="2"/>
      <c r="J173" t="str">
        <f>LEFT(Table2[[#This Row],[Folder]],6)</f>
        <v/>
      </c>
    </row>
    <row r="174" spans="7:10" ht="12" customHeight="1" x14ac:dyDescent="0.25">
      <c r="G174" s="1"/>
      <c r="I174" s="2"/>
      <c r="J174" t="str">
        <f>LEFT(Table2[[#This Row],[Folder]],6)</f>
        <v/>
      </c>
    </row>
    <row r="175" spans="7:10" ht="12" customHeight="1" x14ac:dyDescent="0.25">
      <c r="G175" s="1"/>
      <c r="I175" s="2"/>
      <c r="J175" t="str">
        <f>LEFT(Table2[[#This Row],[Folder]],6)</f>
        <v/>
      </c>
    </row>
    <row r="176" spans="7:10" ht="12" customHeight="1" x14ac:dyDescent="0.25">
      <c r="G176" s="1"/>
      <c r="I176" s="2"/>
      <c r="J176" t="str">
        <f>LEFT(Table2[[#This Row],[Folder]],6)</f>
        <v/>
      </c>
    </row>
    <row r="177" spans="7:10" ht="12" customHeight="1" x14ac:dyDescent="0.25">
      <c r="G177" s="1"/>
      <c r="I177" s="2"/>
      <c r="J177" t="str">
        <f>LEFT(Table2[[#This Row],[Folder]],6)</f>
        <v/>
      </c>
    </row>
    <row r="178" spans="7:10" ht="12" customHeight="1" x14ac:dyDescent="0.25">
      <c r="G178" s="1"/>
      <c r="I178" s="2"/>
      <c r="J178" t="str">
        <f>LEFT(Table2[[#This Row],[Folder]],6)</f>
        <v/>
      </c>
    </row>
    <row r="179" spans="7:10" ht="12" customHeight="1" x14ac:dyDescent="0.25">
      <c r="G179" s="1"/>
      <c r="I179" s="2"/>
      <c r="J179" t="str">
        <f>LEFT(Table2[[#This Row],[Folder]],6)</f>
        <v/>
      </c>
    </row>
    <row r="180" spans="7:10" ht="12" customHeight="1" x14ac:dyDescent="0.25">
      <c r="G180" s="1"/>
      <c r="I180" s="2"/>
      <c r="J180" t="str">
        <f>LEFT(Table2[[#This Row],[Folder]],6)</f>
        <v/>
      </c>
    </row>
    <row r="181" spans="7:10" ht="12" customHeight="1" x14ac:dyDescent="0.25">
      <c r="G181" s="1"/>
      <c r="I181" s="2"/>
      <c r="J181" t="str">
        <f>LEFT(Table2[[#This Row],[Folder]],6)</f>
        <v/>
      </c>
    </row>
    <row r="182" spans="7:10" ht="12" customHeight="1" x14ac:dyDescent="0.25">
      <c r="G182" s="1"/>
      <c r="I182" s="2"/>
      <c r="J182" t="str">
        <f>LEFT(Table2[[#This Row],[Folder]],6)</f>
        <v/>
      </c>
    </row>
    <row r="183" spans="7:10" ht="12" customHeight="1" x14ac:dyDescent="0.25">
      <c r="G183" s="1"/>
      <c r="I183" s="2"/>
      <c r="J183" t="str">
        <f>LEFT(Table2[[#This Row],[Folder]],6)</f>
        <v/>
      </c>
    </row>
    <row r="184" spans="7:10" ht="12" customHeight="1" x14ac:dyDescent="0.25">
      <c r="G184" s="1"/>
      <c r="I184" s="2"/>
      <c r="J184" t="str">
        <f>LEFT(Table2[[#This Row],[Folder]],6)</f>
        <v/>
      </c>
    </row>
    <row r="185" spans="7:10" ht="12" customHeight="1" x14ac:dyDescent="0.25">
      <c r="G185" s="1"/>
      <c r="I185" s="2"/>
      <c r="J185" t="str">
        <f>LEFT(Table2[[#This Row],[Folder]],6)</f>
        <v/>
      </c>
    </row>
    <row r="186" spans="7:10" ht="12" customHeight="1" x14ac:dyDescent="0.25">
      <c r="G186" s="1"/>
      <c r="I186" s="2"/>
      <c r="J186" t="str">
        <f>LEFT(Table2[[#This Row],[Folder]],6)</f>
        <v/>
      </c>
    </row>
    <row r="187" spans="7:10" ht="12" customHeight="1" x14ac:dyDescent="0.25">
      <c r="G187" s="1"/>
      <c r="I187" s="2"/>
      <c r="J187" t="str">
        <f>LEFT(Table2[[#This Row],[Folder]],6)</f>
        <v/>
      </c>
    </row>
    <row r="188" spans="7:10" ht="12" customHeight="1" x14ac:dyDescent="0.25">
      <c r="G188" s="1"/>
      <c r="I188" s="2"/>
      <c r="J188" t="str">
        <f>LEFT(Table2[[#This Row],[Folder]],6)</f>
        <v/>
      </c>
    </row>
    <row r="189" spans="7:10" ht="12" customHeight="1" x14ac:dyDescent="0.25">
      <c r="G189" s="1"/>
      <c r="I189" s="2"/>
      <c r="J189" t="str">
        <f>LEFT(Table2[[#This Row],[Folder]],6)</f>
        <v/>
      </c>
    </row>
    <row r="190" spans="7:10" ht="12" customHeight="1" x14ac:dyDescent="0.25">
      <c r="G190" s="1"/>
      <c r="I190" s="2"/>
      <c r="J190" t="str">
        <f>LEFT(Table2[[#This Row],[Folder]],6)</f>
        <v/>
      </c>
    </row>
    <row r="191" spans="7:10" ht="12" customHeight="1" x14ac:dyDescent="0.25">
      <c r="G191" s="1"/>
      <c r="I191" s="2"/>
      <c r="J191" t="str">
        <f>LEFT(Table2[[#This Row],[Folder]],6)</f>
        <v/>
      </c>
    </row>
    <row r="192" spans="7:10" ht="12" customHeight="1" x14ac:dyDescent="0.25">
      <c r="G192" s="1"/>
      <c r="I192" s="2"/>
      <c r="J192" t="str">
        <f>LEFT(Table2[[#This Row],[Folder]],6)</f>
        <v/>
      </c>
    </row>
    <row r="193" spans="7:10" ht="12" customHeight="1" x14ac:dyDescent="0.25">
      <c r="G193" s="1"/>
      <c r="I193" s="2"/>
      <c r="J193" t="str">
        <f>LEFT(Table2[[#This Row],[Folder]],6)</f>
        <v/>
      </c>
    </row>
    <row r="194" spans="7:10" ht="12" customHeight="1" x14ac:dyDescent="0.25">
      <c r="G194" s="1"/>
      <c r="I194" s="2"/>
      <c r="J194" t="str">
        <f>LEFT(Table2[[#This Row],[Folder]],6)</f>
        <v/>
      </c>
    </row>
    <row r="195" spans="7:10" ht="12" customHeight="1" x14ac:dyDescent="0.25">
      <c r="G195" s="1"/>
      <c r="I195" s="2"/>
      <c r="J195" t="str">
        <f>LEFT(Table2[[#This Row],[Folder]],6)</f>
        <v/>
      </c>
    </row>
    <row r="196" spans="7:10" ht="12" customHeight="1" x14ac:dyDescent="0.25">
      <c r="G196" s="1"/>
      <c r="I196" s="2"/>
      <c r="J196" t="str">
        <f>LEFT(Table2[[#This Row],[Folder]],6)</f>
        <v/>
      </c>
    </row>
    <row r="197" spans="7:10" ht="12" customHeight="1" x14ac:dyDescent="0.25">
      <c r="G197" s="1"/>
      <c r="I197" s="2"/>
      <c r="J197" t="str">
        <f>LEFT(Table2[[#This Row],[Folder]],6)</f>
        <v/>
      </c>
    </row>
    <row r="198" spans="7:10" ht="12" customHeight="1" x14ac:dyDescent="0.25">
      <c r="G198" s="1"/>
      <c r="I198" s="2"/>
      <c r="J198" t="str">
        <f>LEFT(Table2[[#This Row],[Folder]],6)</f>
        <v/>
      </c>
    </row>
    <row r="199" spans="7:10" ht="12" customHeight="1" x14ac:dyDescent="0.25">
      <c r="G199" s="1"/>
      <c r="I199" s="2"/>
      <c r="J199" t="str">
        <f>LEFT(Table2[[#This Row],[Folder]],6)</f>
        <v/>
      </c>
    </row>
    <row r="200" spans="7:10" ht="12" customHeight="1" x14ac:dyDescent="0.25">
      <c r="G200" s="1"/>
      <c r="I200" s="2"/>
      <c r="J200" t="str">
        <f>LEFT(Table2[[#This Row],[Folder]],6)</f>
        <v/>
      </c>
    </row>
    <row r="201" spans="7:10" ht="12" customHeight="1" x14ac:dyDescent="0.25">
      <c r="G201" s="1"/>
      <c r="I201" s="2"/>
      <c r="J201" t="str">
        <f>LEFT(Table2[[#This Row],[Folder]],6)</f>
        <v/>
      </c>
    </row>
    <row r="202" spans="7:10" ht="12" customHeight="1" x14ac:dyDescent="0.25">
      <c r="G202" s="1"/>
      <c r="I202" s="2"/>
      <c r="J202" t="str">
        <f>LEFT(Table2[[#This Row],[Folder]],6)</f>
        <v/>
      </c>
    </row>
    <row r="203" spans="7:10" ht="12" customHeight="1" x14ac:dyDescent="0.25">
      <c r="G203" s="1"/>
      <c r="I203" s="2"/>
      <c r="J203" t="str">
        <f>LEFT(Table2[[#This Row],[Folder]],6)</f>
        <v/>
      </c>
    </row>
    <row r="204" spans="7:10" ht="12" customHeight="1" x14ac:dyDescent="0.25">
      <c r="G204" s="1"/>
      <c r="I204" s="2"/>
      <c r="J204" t="str">
        <f>LEFT(Table2[[#This Row],[Folder]],6)</f>
        <v/>
      </c>
    </row>
    <row r="205" spans="7:10" ht="12" customHeight="1" x14ac:dyDescent="0.25">
      <c r="G205" s="1"/>
      <c r="I205" s="2"/>
      <c r="J205" t="str">
        <f>LEFT(Table2[[#This Row],[Folder]],6)</f>
        <v/>
      </c>
    </row>
    <row r="206" spans="7:10" ht="12" customHeight="1" x14ac:dyDescent="0.25">
      <c r="G206" s="1"/>
      <c r="I206" s="2"/>
      <c r="J206" t="str">
        <f>LEFT(Table2[[#This Row],[Folder]],6)</f>
        <v/>
      </c>
    </row>
    <row r="207" spans="7:10" ht="12" customHeight="1" x14ac:dyDescent="0.25">
      <c r="G207" s="1"/>
      <c r="I207" s="2"/>
      <c r="J207" t="str">
        <f>LEFT(Table2[[#This Row],[Folder]],6)</f>
        <v/>
      </c>
    </row>
    <row r="208" spans="7:10" ht="12" customHeight="1" x14ac:dyDescent="0.25">
      <c r="G208" s="1"/>
      <c r="I208" s="2"/>
      <c r="J208" t="str">
        <f>LEFT(Table2[[#This Row],[Folder]],6)</f>
        <v/>
      </c>
    </row>
    <row r="209" spans="7:10" ht="12" customHeight="1" x14ac:dyDescent="0.25">
      <c r="G209" s="1"/>
      <c r="I209" s="2"/>
      <c r="J209" t="str">
        <f>LEFT(Table2[[#This Row],[Folder]],6)</f>
        <v/>
      </c>
    </row>
    <row r="210" spans="7:10" ht="12" customHeight="1" x14ac:dyDescent="0.25">
      <c r="G210" s="1"/>
      <c r="I210" s="2"/>
      <c r="J210" t="str">
        <f>LEFT(Table2[[#This Row],[Folder]],6)</f>
        <v/>
      </c>
    </row>
    <row r="211" spans="7:10" ht="12" customHeight="1" x14ac:dyDescent="0.25">
      <c r="G211" s="1"/>
      <c r="I211" s="2"/>
      <c r="J211" t="str">
        <f>LEFT(Table2[[#This Row],[Folder]],6)</f>
        <v/>
      </c>
    </row>
    <row r="212" spans="7:10" ht="12" customHeight="1" x14ac:dyDescent="0.25">
      <c r="G212" s="1"/>
      <c r="I212" s="2"/>
      <c r="J212" t="str">
        <f>LEFT(Table2[[#This Row],[Folder]],6)</f>
        <v/>
      </c>
    </row>
    <row r="213" spans="7:10" ht="12" customHeight="1" x14ac:dyDescent="0.25">
      <c r="G213" s="1"/>
      <c r="I213" s="2"/>
      <c r="J213" t="str">
        <f>LEFT(Table2[[#This Row],[Folder]],6)</f>
        <v/>
      </c>
    </row>
    <row r="214" spans="7:10" ht="12" customHeight="1" x14ac:dyDescent="0.25">
      <c r="G214" s="1"/>
      <c r="I214" s="2"/>
      <c r="J214" t="str">
        <f>LEFT(Table2[[#This Row],[Folder]],6)</f>
        <v/>
      </c>
    </row>
    <row r="215" spans="7:10" ht="12" customHeight="1" x14ac:dyDescent="0.25">
      <c r="G215" s="1"/>
      <c r="I215" s="2"/>
      <c r="J215" t="str">
        <f>LEFT(Table2[[#This Row],[Folder]],6)</f>
        <v/>
      </c>
    </row>
    <row r="216" spans="7:10" ht="12" customHeight="1" x14ac:dyDescent="0.25">
      <c r="G216" s="1"/>
      <c r="I216" s="2"/>
      <c r="J216" t="str">
        <f>LEFT(Table2[[#This Row],[Folder]],6)</f>
        <v/>
      </c>
    </row>
    <row r="217" spans="7:10" ht="12" customHeight="1" x14ac:dyDescent="0.25">
      <c r="G217" s="1"/>
      <c r="I217" s="2"/>
      <c r="J217" t="str">
        <f>LEFT(Table2[[#This Row],[Folder]],6)</f>
        <v/>
      </c>
    </row>
    <row r="218" spans="7:10" ht="12" customHeight="1" x14ac:dyDescent="0.25">
      <c r="G218" s="1"/>
      <c r="I218" s="2"/>
      <c r="J218" t="str">
        <f>LEFT(Table2[[#This Row],[Folder]],6)</f>
        <v/>
      </c>
    </row>
    <row r="219" spans="7:10" ht="12" customHeight="1" x14ac:dyDescent="0.25">
      <c r="G219" s="1"/>
      <c r="I219" s="2"/>
      <c r="J219" t="str">
        <f>LEFT(Table2[[#This Row],[Folder]],6)</f>
        <v/>
      </c>
    </row>
    <row r="220" spans="7:10" ht="12" customHeight="1" x14ac:dyDescent="0.25">
      <c r="G220" s="1"/>
      <c r="I220" s="2"/>
      <c r="J220" t="str">
        <f>LEFT(Table2[[#This Row],[Folder]],6)</f>
        <v/>
      </c>
    </row>
    <row r="221" spans="7:10" ht="12" customHeight="1" x14ac:dyDescent="0.25">
      <c r="G221" s="1"/>
      <c r="I221" s="2"/>
      <c r="J221" t="str">
        <f>LEFT(Table2[[#This Row],[Folder]],6)</f>
        <v/>
      </c>
    </row>
    <row r="222" spans="7:10" ht="12" customHeight="1" x14ac:dyDescent="0.25">
      <c r="G222" s="1"/>
      <c r="I222" s="2"/>
      <c r="J222" t="str">
        <f>LEFT(Table2[[#This Row],[Folder]],6)</f>
        <v/>
      </c>
    </row>
    <row r="223" spans="7:10" ht="12" customHeight="1" x14ac:dyDescent="0.25">
      <c r="G223" s="1"/>
      <c r="I223" s="2"/>
      <c r="J223" t="str">
        <f>LEFT(Table2[[#This Row],[Folder]],6)</f>
        <v/>
      </c>
    </row>
    <row r="224" spans="7:10" ht="12" customHeight="1" x14ac:dyDescent="0.25">
      <c r="G224" s="1"/>
      <c r="I224" s="2"/>
      <c r="J224" t="str">
        <f>LEFT(Table2[[#This Row],[Folder]],6)</f>
        <v/>
      </c>
    </row>
    <row r="225" spans="7:10" ht="12" customHeight="1" x14ac:dyDescent="0.25">
      <c r="G225" s="1"/>
      <c r="I225" s="2"/>
      <c r="J225" t="str">
        <f>LEFT(Table2[[#This Row],[Folder]],6)</f>
        <v/>
      </c>
    </row>
    <row r="226" spans="7:10" ht="12" customHeight="1" x14ac:dyDescent="0.25">
      <c r="G226" s="1"/>
      <c r="I226" s="2"/>
      <c r="J226" t="str">
        <f>LEFT(Table2[[#This Row],[Folder]],6)</f>
        <v/>
      </c>
    </row>
    <row r="227" spans="7:10" ht="12" customHeight="1" x14ac:dyDescent="0.25">
      <c r="G227" s="1"/>
      <c r="I227" s="2"/>
      <c r="J227" t="str">
        <f>LEFT(Table2[[#This Row],[Folder]],6)</f>
        <v/>
      </c>
    </row>
    <row r="228" spans="7:10" ht="12" customHeight="1" x14ac:dyDescent="0.25">
      <c r="G228" s="1"/>
      <c r="I228" s="2"/>
      <c r="J228" t="str">
        <f>LEFT(Table2[[#This Row],[Folder]],6)</f>
        <v/>
      </c>
    </row>
    <row r="229" spans="7:10" ht="12" customHeight="1" x14ac:dyDescent="0.25">
      <c r="G229" s="1"/>
      <c r="I229" s="2"/>
      <c r="J229" t="str">
        <f>LEFT(Table2[[#This Row],[Folder]],6)</f>
        <v/>
      </c>
    </row>
    <row r="230" spans="7:10" ht="12" customHeight="1" x14ac:dyDescent="0.25">
      <c r="G230" s="1"/>
      <c r="I230" s="2"/>
      <c r="J230" t="str">
        <f>LEFT(Table2[[#This Row],[Folder]],6)</f>
        <v/>
      </c>
    </row>
    <row r="231" spans="7:10" ht="12" customHeight="1" x14ac:dyDescent="0.25">
      <c r="G231" s="1"/>
      <c r="I231" s="2"/>
      <c r="J231" t="str">
        <f>LEFT(Table2[[#This Row],[Folder]],6)</f>
        <v/>
      </c>
    </row>
    <row r="232" spans="7:10" ht="12" customHeight="1" x14ac:dyDescent="0.25">
      <c r="G232" s="1"/>
      <c r="I232" s="2"/>
      <c r="J232" t="str">
        <f>LEFT(Table2[[#This Row],[Folder]],6)</f>
        <v/>
      </c>
    </row>
    <row r="233" spans="7:10" ht="12" customHeight="1" x14ac:dyDescent="0.25">
      <c r="G233" s="1"/>
      <c r="I233" s="2"/>
      <c r="J233" t="str">
        <f>LEFT(Table2[[#This Row],[Folder]],6)</f>
        <v/>
      </c>
    </row>
    <row r="234" spans="7:10" ht="12" customHeight="1" x14ac:dyDescent="0.25">
      <c r="G234" s="1"/>
      <c r="I234" s="2"/>
      <c r="J234" t="str">
        <f>LEFT(Table2[[#This Row],[Folder]],6)</f>
        <v/>
      </c>
    </row>
    <row r="235" spans="7:10" ht="12" customHeight="1" x14ac:dyDescent="0.25">
      <c r="G235" s="1"/>
      <c r="I235" s="2"/>
      <c r="J235" t="str">
        <f>LEFT(Table2[[#This Row],[Folder]],6)</f>
        <v/>
      </c>
    </row>
    <row r="236" spans="7:10" ht="12" customHeight="1" x14ac:dyDescent="0.25">
      <c r="G236" s="1"/>
      <c r="I236" s="2"/>
      <c r="J236" t="str">
        <f>LEFT(Table2[[#This Row],[Folder]],6)</f>
        <v/>
      </c>
    </row>
    <row r="237" spans="7:10" ht="12" customHeight="1" x14ac:dyDescent="0.25">
      <c r="G237" s="1"/>
      <c r="I237" s="2"/>
      <c r="J237" t="str">
        <f>LEFT(Table2[[#This Row],[Folder]],6)</f>
        <v/>
      </c>
    </row>
    <row r="238" spans="7:10" ht="12" customHeight="1" x14ac:dyDescent="0.25">
      <c r="G238" s="1"/>
      <c r="I238" s="2"/>
      <c r="J238" t="str">
        <f>LEFT(Table2[[#This Row],[Folder]],6)</f>
        <v/>
      </c>
    </row>
    <row r="239" spans="7:10" ht="12" customHeight="1" x14ac:dyDescent="0.25">
      <c r="G239" s="1"/>
      <c r="I239" s="2"/>
      <c r="J239" t="str">
        <f>LEFT(Table2[[#This Row],[Folder]],6)</f>
        <v/>
      </c>
    </row>
    <row r="240" spans="7:10" ht="12" customHeight="1" x14ac:dyDescent="0.25">
      <c r="G240" s="1"/>
      <c r="I240" s="2"/>
      <c r="J240" t="str">
        <f>LEFT(Table2[[#This Row],[Folder]],6)</f>
        <v/>
      </c>
    </row>
    <row r="241" spans="7:10" ht="12" customHeight="1" x14ac:dyDescent="0.25">
      <c r="G241" s="1"/>
      <c r="I241" s="2"/>
      <c r="J241" t="str">
        <f>LEFT(Table2[[#This Row],[Folder]],6)</f>
        <v/>
      </c>
    </row>
    <row r="242" spans="7:10" ht="12" customHeight="1" x14ac:dyDescent="0.25">
      <c r="G242" s="1"/>
      <c r="I242" s="2"/>
      <c r="J242" t="str">
        <f>LEFT(Table2[[#This Row],[Folder]],6)</f>
        <v/>
      </c>
    </row>
    <row r="243" spans="7:10" ht="12" customHeight="1" x14ac:dyDescent="0.25">
      <c r="G243" s="1"/>
      <c r="I243" s="2"/>
      <c r="J243" t="str">
        <f>LEFT(Table2[[#This Row],[Folder]],6)</f>
        <v/>
      </c>
    </row>
    <row r="244" spans="7:10" ht="12" customHeight="1" x14ac:dyDescent="0.25">
      <c r="G244" s="1"/>
      <c r="I244" s="2"/>
      <c r="J244" t="str">
        <f>LEFT(Table2[[#This Row],[Folder]],6)</f>
        <v/>
      </c>
    </row>
    <row r="245" spans="7:10" ht="12" customHeight="1" x14ac:dyDescent="0.25">
      <c r="G245" s="1"/>
      <c r="I245" s="2"/>
      <c r="J245" t="str">
        <f>LEFT(Table2[[#This Row],[Folder]],6)</f>
        <v/>
      </c>
    </row>
    <row r="246" spans="7:10" ht="12" customHeight="1" x14ac:dyDescent="0.25">
      <c r="G246" s="1"/>
      <c r="I246" s="2"/>
      <c r="J246" t="str">
        <f>LEFT(Table2[[#This Row],[Folder]],6)</f>
        <v/>
      </c>
    </row>
    <row r="247" spans="7:10" ht="12" customHeight="1" x14ac:dyDescent="0.25">
      <c r="G247" s="1"/>
      <c r="I247" s="2"/>
      <c r="J247" t="str">
        <f>LEFT(Table2[[#This Row],[Folder]],6)</f>
        <v/>
      </c>
    </row>
    <row r="248" spans="7:10" ht="12" customHeight="1" x14ac:dyDescent="0.25">
      <c r="G248" s="1"/>
      <c r="I248" s="2"/>
      <c r="J248" t="str">
        <f>LEFT(Table2[[#This Row],[Folder]],6)</f>
        <v/>
      </c>
    </row>
    <row r="249" spans="7:10" ht="12" customHeight="1" x14ac:dyDescent="0.25">
      <c r="G249" s="1"/>
      <c r="I249" s="2"/>
      <c r="J249" t="str">
        <f>LEFT(Table2[[#This Row],[Folder]],6)</f>
        <v/>
      </c>
    </row>
    <row r="250" spans="7:10" ht="12" customHeight="1" x14ac:dyDescent="0.25">
      <c r="G250" s="1"/>
      <c r="I250" s="2"/>
      <c r="J250" t="str">
        <f>LEFT(Table2[[#This Row],[Folder]],6)</f>
        <v/>
      </c>
    </row>
    <row r="251" spans="7:10" ht="12" customHeight="1" x14ac:dyDescent="0.25">
      <c r="G251" s="1"/>
      <c r="I251" s="2"/>
      <c r="J251" t="str">
        <f>LEFT(Table2[[#This Row],[Folder]],6)</f>
        <v/>
      </c>
    </row>
    <row r="252" spans="7:10" ht="12" customHeight="1" x14ac:dyDescent="0.25">
      <c r="G252" s="1"/>
      <c r="I252" s="2"/>
      <c r="J252" t="str">
        <f>LEFT(Table2[[#This Row],[Folder]],6)</f>
        <v/>
      </c>
    </row>
    <row r="253" spans="7:10" ht="12" customHeight="1" x14ac:dyDescent="0.25">
      <c r="G253" s="1"/>
      <c r="I253" s="2"/>
      <c r="J253" t="str">
        <f>LEFT(Table2[[#This Row],[Folder]],6)</f>
        <v/>
      </c>
    </row>
    <row r="254" spans="7:10" ht="12" customHeight="1" x14ac:dyDescent="0.25">
      <c r="G254" s="1"/>
      <c r="I254" s="2"/>
      <c r="J254" t="str">
        <f>LEFT(Table2[[#This Row],[Folder]],6)</f>
        <v/>
      </c>
    </row>
    <row r="255" spans="7:10" ht="12" customHeight="1" x14ac:dyDescent="0.25">
      <c r="G255" s="1"/>
      <c r="I255" s="2"/>
      <c r="J255" t="str">
        <f>LEFT(Table2[[#This Row],[Folder]],6)</f>
        <v/>
      </c>
    </row>
    <row r="256" spans="7:10" ht="12" customHeight="1" x14ac:dyDescent="0.25">
      <c r="G256" s="1"/>
      <c r="I256" s="2"/>
      <c r="J256" t="str">
        <f>LEFT(Table2[[#This Row],[Folder]],6)</f>
        <v/>
      </c>
    </row>
    <row r="257" spans="7:10" ht="12" customHeight="1" x14ac:dyDescent="0.25">
      <c r="G257" s="1"/>
      <c r="I257" s="2"/>
      <c r="J257" t="str">
        <f>LEFT(Table2[[#This Row],[Folder]],6)</f>
        <v/>
      </c>
    </row>
    <row r="258" spans="7:10" ht="12" customHeight="1" x14ac:dyDescent="0.25">
      <c r="G258" s="1"/>
      <c r="I258" s="2"/>
      <c r="J258" t="str">
        <f>LEFT(Table2[[#This Row],[Folder]],6)</f>
        <v/>
      </c>
    </row>
    <row r="259" spans="7:10" ht="12" customHeight="1" x14ac:dyDescent="0.25">
      <c r="G259" s="1"/>
      <c r="I259" s="2"/>
      <c r="J259" t="str">
        <f>LEFT(Table2[[#This Row],[Folder]],6)</f>
        <v/>
      </c>
    </row>
    <row r="260" spans="7:10" ht="12" customHeight="1" x14ac:dyDescent="0.25">
      <c r="G260" s="1"/>
      <c r="I260" s="2"/>
      <c r="J260" t="str">
        <f>LEFT(Table2[[#This Row],[Folder]],6)</f>
        <v/>
      </c>
    </row>
    <row r="261" spans="7:10" ht="12" customHeight="1" x14ac:dyDescent="0.25">
      <c r="G261" s="1"/>
      <c r="I261" s="2"/>
      <c r="J261" t="str">
        <f>LEFT(Table2[[#This Row],[Folder]],6)</f>
        <v/>
      </c>
    </row>
    <row r="262" spans="7:10" ht="12" customHeight="1" x14ac:dyDescent="0.25">
      <c r="G262" s="1"/>
      <c r="I262" s="2"/>
      <c r="J262" t="str">
        <f>LEFT(Table2[[#This Row],[Folder]],6)</f>
        <v/>
      </c>
    </row>
    <row r="263" spans="7:10" ht="12" customHeight="1" x14ac:dyDescent="0.25">
      <c r="G263" s="1"/>
      <c r="I263" s="2"/>
      <c r="J263" t="str">
        <f>LEFT(Table2[[#This Row],[Folder]],6)</f>
        <v/>
      </c>
    </row>
    <row r="264" spans="7:10" ht="12" customHeight="1" x14ac:dyDescent="0.25">
      <c r="G264" s="1"/>
      <c r="I264" s="2"/>
      <c r="J264" t="str">
        <f>LEFT(Table2[[#This Row],[Folder]],6)</f>
        <v/>
      </c>
    </row>
    <row r="265" spans="7:10" ht="12" customHeight="1" x14ac:dyDescent="0.25">
      <c r="G265" s="1"/>
      <c r="I265" s="2"/>
      <c r="J265" t="str">
        <f>LEFT(Table2[[#This Row],[Folder]],6)</f>
        <v/>
      </c>
    </row>
    <row r="266" spans="7:10" ht="12" customHeight="1" x14ac:dyDescent="0.25">
      <c r="G266" s="1"/>
      <c r="I266" s="2"/>
      <c r="J266" t="str">
        <f>LEFT(Table2[[#This Row],[Folder]],6)</f>
        <v/>
      </c>
    </row>
    <row r="267" spans="7:10" ht="12" customHeight="1" x14ac:dyDescent="0.25">
      <c r="G267" s="1"/>
      <c r="I267" s="2"/>
      <c r="J267" t="str">
        <f>LEFT(Table2[[#This Row],[Folder]],6)</f>
        <v/>
      </c>
    </row>
    <row r="268" spans="7:10" ht="12" customHeight="1" x14ac:dyDescent="0.25">
      <c r="G268" s="1"/>
      <c r="I268" s="2"/>
      <c r="J268" t="str">
        <f>LEFT(Table2[[#This Row],[Folder]],6)</f>
        <v/>
      </c>
    </row>
    <row r="269" spans="7:10" ht="12" customHeight="1" x14ac:dyDescent="0.25">
      <c r="G269" s="1"/>
      <c r="I269" s="2"/>
      <c r="J269" t="str">
        <f>LEFT(Table2[[#This Row],[Folder]],6)</f>
        <v/>
      </c>
    </row>
    <row r="270" spans="7:10" ht="12" customHeight="1" x14ac:dyDescent="0.25">
      <c r="G270" s="1"/>
      <c r="I270" s="2"/>
      <c r="J270" t="str">
        <f>LEFT(Table2[[#This Row],[Folder]],6)</f>
        <v/>
      </c>
    </row>
    <row r="271" spans="7:10" ht="12" customHeight="1" x14ac:dyDescent="0.25">
      <c r="G271" s="1"/>
      <c r="I271" s="2"/>
      <c r="J271" t="str">
        <f>LEFT(Table2[[#This Row],[Folder]],6)</f>
        <v/>
      </c>
    </row>
    <row r="272" spans="7:10" ht="12" customHeight="1" x14ac:dyDescent="0.25">
      <c r="G272" s="1"/>
      <c r="I272" s="2"/>
      <c r="J272" t="str">
        <f>LEFT(Table2[[#This Row],[Folder]],6)</f>
        <v/>
      </c>
    </row>
    <row r="273" spans="7:10" ht="12" customHeight="1" x14ac:dyDescent="0.25">
      <c r="G273" s="1"/>
      <c r="I273" s="2"/>
      <c r="J273" t="str">
        <f>LEFT(Table2[[#This Row],[Folder]],6)</f>
        <v/>
      </c>
    </row>
    <row r="274" spans="7:10" ht="12" customHeight="1" x14ac:dyDescent="0.25">
      <c r="G274" s="1"/>
      <c r="I274" s="2"/>
      <c r="J274" t="str">
        <f>LEFT(Table2[[#This Row],[Folder]],6)</f>
        <v/>
      </c>
    </row>
    <row r="275" spans="7:10" ht="12" customHeight="1" x14ac:dyDescent="0.25">
      <c r="G275" s="1"/>
      <c r="I275" s="2"/>
      <c r="J275" t="str">
        <f>LEFT(Table2[[#This Row],[Folder]],6)</f>
        <v/>
      </c>
    </row>
    <row r="276" spans="7:10" ht="12" customHeight="1" x14ac:dyDescent="0.25">
      <c r="G276" s="1"/>
      <c r="I276" s="2"/>
      <c r="J276" t="str">
        <f>LEFT(Table2[[#This Row],[Folder]],6)</f>
        <v/>
      </c>
    </row>
    <row r="277" spans="7:10" ht="12" customHeight="1" x14ac:dyDescent="0.25">
      <c r="G277" s="1"/>
      <c r="I277" s="2"/>
      <c r="J277" t="str">
        <f>LEFT(Table2[[#This Row],[Folder]],6)</f>
        <v/>
      </c>
    </row>
    <row r="278" spans="7:10" ht="12" customHeight="1" x14ac:dyDescent="0.25">
      <c r="G278" s="1"/>
      <c r="I278" s="2"/>
      <c r="J278" t="str">
        <f>LEFT(Table2[[#This Row],[Folder]],6)</f>
        <v/>
      </c>
    </row>
    <row r="279" spans="7:10" ht="12" customHeight="1" x14ac:dyDescent="0.25">
      <c r="G279" s="1"/>
      <c r="I279" s="2"/>
      <c r="J279" t="str">
        <f>LEFT(Table2[[#This Row],[Folder]],6)</f>
        <v/>
      </c>
    </row>
    <row r="280" spans="7:10" ht="12" customHeight="1" x14ac:dyDescent="0.25">
      <c r="G280" s="1"/>
      <c r="I280" s="2"/>
      <c r="J280" t="str">
        <f>LEFT(Table2[[#This Row],[Folder]],6)</f>
        <v/>
      </c>
    </row>
    <row r="281" spans="7:10" ht="12" customHeight="1" x14ac:dyDescent="0.25">
      <c r="G281" s="1"/>
      <c r="I281" s="2"/>
      <c r="J281" t="str">
        <f>LEFT(Table2[[#This Row],[Folder]],6)</f>
        <v/>
      </c>
    </row>
    <row r="282" spans="7:10" ht="12" customHeight="1" x14ac:dyDescent="0.25">
      <c r="G282" s="1"/>
      <c r="I282" s="2"/>
      <c r="J282" t="str">
        <f>LEFT(Table2[[#This Row],[Folder]],6)</f>
        <v/>
      </c>
    </row>
    <row r="283" spans="7:10" ht="12" customHeight="1" x14ac:dyDescent="0.25">
      <c r="G283" s="1"/>
      <c r="I283" s="2"/>
      <c r="J283" t="str">
        <f>LEFT(Table2[[#This Row],[Folder]],6)</f>
        <v/>
      </c>
    </row>
    <row r="284" spans="7:10" ht="12" customHeight="1" x14ac:dyDescent="0.25">
      <c r="G284" s="1"/>
      <c r="I284" s="2"/>
      <c r="J284" t="str">
        <f>LEFT(Table2[[#This Row],[Folder]],6)</f>
        <v/>
      </c>
    </row>
    <row r="285" spans="7:10" ht="12" customHeight="1" x14ac:dyDescent="0.25">
      <c r="G285" s="1"/>
      <c r="I285" s="2"/>
      <c r="J285" t="str">
        <f>LEFT(Table2[[#This Row],[Folder]],6)</f>
        <v/>
      </c>
    </row>
    <row r="286" spans="7:10" ht="12" customHeight="1" x14ac:dyDescent="0.25">
      <c r="G286" s="1"/>
      <c r="I286" s="2"/>
      <c r="J286" t="str">
        <f>LEFT(Table2[[#This Row],[Folder]],6)</f>
        <v/>
      </c>
    </row>
    <row r="287" spans="7:10" ht="12" customHeight="1" x14ac:dyDescent="0.25">
      <c r="G287" s="1"/>
      <c r="I287" s="2"/>
      <c r="J287" t="str">
        <f>LEFT(Table2[[#This Row],[Folder]],6)</f>
        <v/>
      </c>
    </row>
    <row r="288" spans="7:10" ht="12" customHeight="1" x14ac:dyDescent="0.25">
      <c r="G288" s="1"/>
      <c r="I288" s="2"/>
      <c r="J288" t="str">
        <f>LEFT(Table2[[#This Row],[Folder]],6)</f>
        <v/>
      </c>
    </row>
    <row r="289" spans="7:10" ht="12" customHeight="1" x14ac:dyDescent="0.25">
      <c r="G289" s="1"/>
      <c r="I289" s="2"/>
      <c r="J289" t="str">
        <f>LEFT(Table2[[#This Row],[Folder]],6)</f>
        <v/>
      </c>
    </row>
    <row r="290" spans="7:10" ht="12" customHeight="1" x14ac:dyDescent="0.25">
      <c r="G290" s="1"/>
      <c r="I290" s="2"/>
      <c r="J290" t="str">
        <f>LEFT(Table2[[#This Row],[Folder]],6)</f>
        <v/>
      </c>
    </row>
    <row r="291" spans="7:10" ht="12" customHeight="1" x14ac:dyDescent="0.25">
      <c r="G291" s="1"/>
      <c r="I291" s="2"/>
      <c r="J291" t="str">
        <f>LEFT(Table2[[#This Row],[Folder]],6)</f>
        <v/>
      </c>
    </row>
    <row r="292" spans="7:10" ht="12" customHeight="1" x14ac:dyDescent="0.25">
      <c r="G292" s="1"/>
      <c r="I292" s="2"/>
      <c r="J292" t="str">
        <f>LEFT(Table2[[#This Row],[Folder]],6)</f>
        <v/>
      </c>
    </row>
    <row r="293" spans="7:10" ht="12" customHeight="1" x14ac:dyDescent="0.25">
      <c r="G293" s="1"/>
      <c r="I293" s="2"/>
      <c r="J293" t="str">
        <f>LEFT(Table2[[#This Row],[Folder]],6)</f>
        <v/>
      </c>
    </row>
    <row r="294" spans="7:10" ht="12" customHeight="1" x14ac:dyDescent="0.25">
      <c r="G294" s="1"/>
      <c r="I294" s="2"/>
      <c r="J294" t="str">
        <f>LEFT(Table2[[#This Row],[Folder]],6)</f>
        <v/>
      </c>
    </row>
    <row r="295" spans="7:10" ht="12" customHeight="1" x14ac:dyDescent="0.25">
      <c r="G295" s="1"/>
      <c r="I295" s="2"/>
      <c r="J295" t="str">
        <f>LEFT(Table2[[#This Row],[Folder]],6)</f>
        <v/>
      </c>
    </row>
    <row r="296" spans="7:10" ht="12" customHeight="1" x14ac:dyDescent="0.25">
      <c r="G296" s="1"/>
      <c r="I296" s="2"/>
      <c r="J296" t="str">
        <f>LEFT(Table2[[#This Row],[Folder]],6)</f>
        <v/>
      </c>
    </row>
    <row r="297" spans="7:10" ht="12" customHeight="1" x14ac:dyDescent="0.25">
      <c r="G297" s="1"/>
      <c r="I297" s="2"/>
      <c r="J297" t="str">
        <f>LEFT(Table2[[#This Row],[Folder]],6)</f>
        <v/>
      </c>
    </row>
    <row r="298" spans="7:10" ht="12" customHeight="1" x14ac:dyDescent="0.25">
      <c r="G298" s="1"/>
      <c r="I298" s="2"/>
      <c r="J298" t="str">
        <f>LEFT(Table2[[#This Row],[Folder]],6)</f>
        <v/>
      </c>
    </row>
    <row r="299" spans="7:10" ht="12" customHeight="1" x14ac:dyDescent="0.25">
      <c r="G299" s="1"/>
      <c r="I299" s="2"/>
      <c r="J299" t="str">
        <f>LEFT(Table2[[#This Row],[Folder]],6)</f>
        <v/>
      </c>
    </row>
    <row r="300" spans="7:10" ht="12" customHeight="1" x14ac:dyDescent="0.25">
      <c r="G300" s="1"/>
      <c r="I300" s="2"/>
      <c r="J300" t="str">
        <f>LEFT(Table2[[#This Row],[Folder]],6)</f>
        <v/>
      </c>
    </row>
    <row r="301" spans="7:10" ht="12" customHeight="1" x14ac:dyDescent="0.25">
      <c r="G301" s="1"/>
      <c r="I301" s="2"/>
      <c r="J301" t="str">
        <f>LEFT(Table2[[#This Row],[Folder]],6)</f>
        <v/>
      </c>
    </row>
    <row r="302" spans="7:10" ht="12" customHeight="1" x14ac:dyDescent="0.25">
      <c r="G302" s="1"/>
      <c r="I302" s="2"/>
      <c r="J302" t="str">
        <f>LEFT(Table2[[#This Row],[Folder]],6)</f>
        <v/>
      </c>
    </row>
    <row r="303" spans="7:10" ht="12" customHeight="1" x14ac:dyDescent="0.25">
      <c r="G303" s="1"/>
      <c r="I303" s="2"/>
      <c r="J303" t="str">
        <f>LEFT(Table2[[#This Row],[Folder]],6)</f>
        <v/>
      </c>
    </row>
    <row r="304" spans="7:10" ht="12" customHeight="1" x14ac:dyDescent="0.25">
      <c r="G304" s="1"/>
      <c r="I304" s="2"/>
      <c r="J304" t="str">
        <f>LEFT(Table2[[#This Row],[Folder]],6)</f>
        <v/>
      </c>
    </row>
    <row r="305" spans="7:10" ht="12" customHeight="1" x14ac:dyDescent="0.25">
      <c r="G305" s="1"/>
      <c r="I305" s="2"/>
      <c r="J305" t="str">
        <f>LEFT(Table2[[#This Row],[Folder]],6)</f>
        <v/>
      </c>
    </row>
    <row r="306" spans="7:10" ht="12" customHeight="1" x14ac:dyDescent="0.25">
      <c r="G306" s="1"/>
      <c r="I306" s="2"/>
      <c r="J306" t="str">
        <f>LEFT(Table2[[#This Row],[Folder]],6)</f>
        <v/>
      </c>
    </row>
    <row r="307" spans="7:10" ht="12" customHeight="1" x14ac:dyDescent="0.25">
      <c r="G307" s="1"/>
      <c r="I307" s="2"/>
      <c r="J307" t="str">
        <f>LEFT(Table2[[#This Row],[Folder]],6)</f>
        <v/>
      </c>
    </row>
    <row r="308" spans="7:10" ht="12" customHeight="1" x14ac:dyDescent="0.25">
      <c r="G308" s="1"/>
      <c r="I308" s="2"/>
      <c r="J308" t="str">
        <f>LEFT(Table2[[#This Row],[Folder]],6)</f>
        <v/>
      </c>
    </row>
    <row r="309" spans="7:10" ht="12" customHeight="1" x14ac:dyDescent="0.25">
      <c r="G309" s="1"/>
      <c r="I309" s="2"/>
      <c r="J309" t="str">
        <f>LEFT(Table2[[#This Row],[Folder]],6)</f>
        <v/>
      </c>
    </row>
    <row r="310" spans="7:10" ht="12" customHeight="1" x14ac:dyDescent="0.25">
      <c r="G310" s="1"/>
      <c r="I310" s="2"/>
      <c r="J310" t="str">
        <f>LEFT(Table2[[#This Row],[Folder]],6)</f>
        <v/>
      </c>
    </row>
    <row r="311" spans="7:10" ht="12" customHeight="1" x14ac:dyDescent="0.25">
      <c r="G311" s="1"/>
      <c r="I311" s="2"/>
      <c r="J311" t="str">
        <f>LEFT(Table2[[#This Row],[Folder]],6)</f>
        <v/>
      </c>
    </row>
    <row r="312" spans="7:10" ht="12" customHeight="1" x14ac:dyDescent="0.25">
      <c r="G312" s="1"/>
      <c r="I312" s="2"/>
      <c r="J312" t="str">
        <f>LEFT(Table2[[#This Row],[Folder]],6)</f>
        <v/>
      </c>
    </row>
    <row r="313" spans="7:10" ht="12" customHeight="1" x14ac:dyDescent="0.25">
      <c r="G313" s="1"/>
      <c r="I313" s="2"/>
      <c r="J313" t="str">
        <f>LEFT(Table2[[#This Row],[Folder]],6)</f>
        <v/>
      </c>
    </row>
    <row r="314" spans="7:10" ht="12" customHeight="1" x14ac:dyDescent="0.25">
      <c r="G314" s="1"/>
      <c r="I314" s="2"/>
      <c r="J314" t="str">
        <f>LEFT(Table2[[#This Row],[Folder]],6)</f>
        <v/>
      </c>
    </row>
    <row r="315" spans="7:10" ht="12" customHeight="1" x14ac:dyDescent="0.25">
      <c r="G315" s="1"/>
      <c r="I315" s="2"/>
      <c r="J315" t="str">
        <f>LEFT(Table2[[#This Row],[Folder]],6)</f>
        <v/>
      </c>
    </row>
    <row r="316" spans="7:10" ht="12" customHeight="1" x14ac:dyDescent="0.25">
      <c r="G316" s="1"/>
      <c r="I316" s="2"/>
      <c r="J316" t="str">
        <f>LEFT(Table2[[#This Row],[Folder]],6)</f>
        <v/>
      </c>
    </row>
    <row r="317" spans="7:10" ht="12" customHeight="1" x14ac:dyDescent="0.25">
      <c r="G317" s="1"/>
      <c r="I317" s="2"/>
      <c r="J317" t="str">
        <f>LEFT(Table2[[#This Row],[Folder]],6)</f>
        <v/>
      </c>
    </row>
    <row r="318" spans="7:10" ht="12" customHeight="1" x14ac:dyDescent="0.25">
      <c r="G318" s="1"/>
      <c r="I318" s="2"/>
      <c r="J318" t="str">
        <f>LEFT(Table2[[#This Row],[Folder]],6)</f>
        <v/>
      </c>
    </row>
    <row r="319" spans="7:10" ht="12" customHeight="1" x14ac:dyDescent="0.25">
      <c r="G319" s="1"/>
      <c r="I319" s="2"/>
      <c r="J319" t="str">
        <f>LEFT(Table2[[#This Row],[Folder]],6)</f>
        <v/>
      </c>
    </row>
    <row r="320" spans="7:10" ht="12" customHeight="1" x14ac:dyDescent="0.25">
      <c r="G320" s="1"/>
      <c r="I320" s="2"/>
      <c r="J320" t="str">
        <f>LEFT(Table2[[#This Row],[Folder]],6)</f>
        <v/>
      </c>
    </row>
    <row r="321" spans="7:10" ht="12" customHeight="1" x14ac:dyDescent="0.25">
      <c r="G321" s="1"/>
      <c r="I321" s="2"/>
      <c r="J321" t="str">
        <f>LEFT(Table2[[#This Row],[Folder]],6)</f>
        <v/>
      </c>
    </row>
    <row r="322" spans="7:10" ht="12" customHeight="1" x14ac:dyDescent="0.25">
      <c r="G322" s="1"/>
      <c r="I322" s="2"/>
      <c r="J322" t="str">
        <f>LEFT(Table2[[#This Row],[Folder]],6)</f>
        <v/>
      </c>
    </row>
    <row r="323" spans="7:10" ht="12" customHeight="1" x14ac:dyDescent="0.25">
      <c r="G323" s="1"/>
      <c r="I323" s="2"/>
      <c r="J323" t="str">
        <f>LEFT(Table2[[#This Row],[Folder]],6)</f>
        <v/>
      </c>
    </row>
    <row r="324" spans="7:10" ht="12" customHeight="1" x14ac:dyDescent="0.25">
      <c r="G324" s="1"/>
      <c r="I324" s="2"/>
      <c r="J324" t="str">
        <f>LEFT(Table2[[#This Row],[Folder]],6)</f>
        <v/>
      </c>
    </row>
    <row r="325" spans="7:10" ht="12" customHeight="1" x14ac:dyDescent="0.25">
      <c r="G325" s="1"/>
      <c r="I325" s="2"/>
      <c r="J325" t="str">
        <f>LEFT(Table2[[#This Row],[Folder]],6)</f>
        <v/>
      </c>
    </row>
    <row r="326" spans="7:10" ht="12" customHeight="1" x14ac:dyDescent="0.25">
      <c r="G326" s="1"/>
      <c r="I326" s="2"/>
      <c r="J326" t="str">
        <f>LEFT(Table2[[#This Row],[Folder]],6)</f>
        <v/>
      </c>
    </row>
    <row r="327" spans="7:10" ht="12" customHeight="1" x14ac:dyDescent="0.25">
      <c r="G327" s="1"/>
      <c r="I327" s="2"/>
      <c r="J327" t="str">
        <f>LEFT(Table2[[#This Row],[Folder]],6)</f>
        <v/>
      </c>
    </row>
    <row r="328" spans="7:10" ht="12" customHeight="1" x14ac:dyDescent="0.25">
      <c r="G328" s="1"/>
      <c r="I328" s="2"/>
      <c r="J328" t="str">
        <f>LEFT(Table2[[#This Row],[Folder]],6)</f>
        <v/>
      </c>
    </row>
    <row r="329" spans="7:10" ht="12" customHeight="1" x14ac:dyDescent="0.25">
      <c r="G329" s="1"/>
      <c r="I329" s="2"/>
      <c r="J329" t="str">
        <f>LEFT(Table2[[#This Row],[Folder]],6)</f>
        <v/>
      </c>
    </row>
    <row r="330" spans="7:10" ht="12" customHeight="1" x14ac:dyDescent="0.25">
      <c r="G330" s="1"/>
      <c r="I330" s="2"/>
      <c r="J330" t="str">
        <f>LEFT(Table2[[#This Row],[Folder]],6)</f>
        <v/>
      </c>
    </row>
    <row r="331" spans="7:10" ht="12" customHeight="1" x14ac:dyDescent="0.25">
      <c r="G331" s="1"/>
      <c r="I331" s="2"/>
      <c r="J331" t="str">
        <f>LEFT(Table2[[#This Row],[Folder]],6)</f>
        <v/>
      </c>
    </row>
    <row r="332" spans="7:10" ht="12" customHeight="1" x14ac:dyDescent="0.25">
      <c r="G332" s="1"/>
      <c r="I332" s="2"/>
      <c r="J332" t="str">
        <f>LEFT(Table2[[#This Row],[Folder]],6)</f>
        <v/>
      </c>
    </row>
    <row r="333" spans="7:10" ht="12" customHeight="1" x14ac:dyDescent="0.25">
      <c r="G333" s="1"/>
      <c r="I333" s="2"/>
      <c r="J333" t="str">
        <f>LEFT(Table2[[#This Row],[Folder]],6)</f>
        <v/>
      </c>
    </row>
    <row r="334" spans="7:10" ht="12" customHeight="1" x14ac:dyDescent="0.25">
      <c r="G334" s="1"/>
      <c r="I334" s="2"/>
      <c r="J334" t="str">
        <f>LEFT(Table2[[#This Row],[Folder]],6)</f>
        <v/>
      </c>
    </row>
    <row r="335" spans="7:10" ht="12" customHeight="1" x14ac:dyDescent="0.25">
      <c r="G335" s="1"/>
      <c r="I335" s="2"/>
      <c r="J335" t="str">
        <f>LEFT(Table2[[#This Row],[Folder]],6)</f>
        <v/>
      </c>
    </row>
    <row r="336" spans="7:10" ht="12" customHeight="1" x14ac:dyDescent="0.25">
      <c r="G336" s="1"/>
      <c r="I336" s="2"/>
      <c r="J336" t="str">
        <f>LEFT(Table2[[#This Row],[Folder]],6)</f>
        <v/>
      </c>
    </row>
    <row r="337" spans="7:10" ht="12" customHeight="1" x14ac:dyDescent="0.25">
      <c r="G337" s="1"/>
      <c r="I337" s="2"/>
      <c r="J337" t="str">
        <f>LEFT(Table2[[#This Row],[Folder]],6)</f>
        <v/>
      </c>
    </row>
    <row r="338" spans="7:10" ht="12" customHeight="1" x14ac:dyDescent="0.25">
      <c r="G338" s="1"/>
      <c r="I338" s="2"/>
      <c r="J338" t="str">
        <f>LEFT(Table2[[#This Row],[Folder]],6)</f>
        <v/>
      </c>
    </row>
    <row r="339" spans="7:10" ht="12" customHeight="1" x14ac:dyDescent="0.25">
      <c r="G339" s="1"/>
      <c r="I339" s="2"/>
      <c r="J339" t="str">
        <f>LEFT(Table2[[#This Row],[Folder]],6)</f>
        <v/>
      </c>
    </row>
    <row r="340" spans="7:10" ht="12" customHeight="1" x14ac:dyDescent="0.25">
      <c r="G340" s="1"/>
      <c r="I340" s="2"/>
      <c r="J340" t="str">
        <f>LEFT(Table2[[#This Row],[Folder]],6)</f>
        <v/>
      </c>
    </row>
    <row r="341" spans="7:10" ht="12" customHeight="1" x14ac:dyDescent="0.25">
      <c r="G341" s="1"/>
      <c r="I341" s="2"/>
      <c r="J341" t="str">
        <f>LEFT(Table2[[#This Row],[Folder]],6)</f>
        <v/>
      </c>
    </row>
    <row r="342" spans="7:10" ht="12" customHeight="1" x14ac:dyDescent="0.25">
      <c r="G342" s="1"/>
      <c r="I342" s="2"/>
      <c r="J342" t="str">
        <f>LEFT(Table2[[#This Row],[Folder]],6)</f>
        <v/>
      </c>
    </row>
    <row r="343" spans="7:10" ht="12" customHeight="1" x14ac:dyDescent="0.25">
      <c r="G343" s="1"/>
      <c r="I343" s="2"/>
      <c r="J343" t="str">
        <f>LEFT(Table2[[#This Row],[Folder]],6)</f>
        <v/>
      </c>
    </row>
    <row r="344" spans="7:10" ht="12" customHeight="1" x14ac:dyDescent="0.25">
      <c r="G344" s="1"/>
      <c r="I344" s="2"/>
      <c r="J344" t="str">
        <f>LEFT(Table2[[#This Row],[Folder]],6)</f>
        <v/>
      </c>
    </row>
    <row r="345" spans="7:10" ht="12" customHeight="1" x14ac:dyDescent="0.25">
      <c r="G345" s="1"/>
      <c r="I345" s="2"/>
      <c r="J345" t="str">
        <f>LEFT(Table2[[#This Row],[Folder]],6)</f>
        <v/>
      </c>
    </row>
    <row r="346" spans="7:10" ht="12" customHeight="1" x14ac:dyDescent="0.25">
      <c r="G346" s="1"/>
      <c r="I346" s="2"/>
      <c r="J346" t="str">
        <f>LEFT(Table2[[#This Row],[Folder]],6)</f>
        <v/>
      </c>
    </row>
    <row r="347" spans="7:10" ht="12" customHeight="1" x14ac:dyDescent="0.25">
      <c r="G347" s="1"/>
      <c r="I347" s="2"/>
      <c r="J347" t="str">
        <f>LEFT(Table2[[#This Row],[Folder]],6)</f>
        <v/>
      </c>
    </row>
    <row r="348" spans="7:10" ht="12" customHeight="1" x14ac:dyDescent="0.25">
      <c r="G348" s="1"/>
      <c r="I348" s="2"/>
      <c r="J348" t="str">
        <f>LEFT(Table2[[#This Row],[Folder]],6)</f>
        <v/>
      </c>
    </row>
    <row r="349" spans="7:10" ht="12" customHeight="1" x14ac:dyDescent="0.25">
      <c r="G349" s="1"/>
      <c r="I349" s="2"/>
      <c r="J349" t="str">
        <f>LEFT(Table2[[#This Row],[Folder]],6)</f>
        <v/>
      </c>
    </row>
    <row r="350" spans="7:10" ht="12" customHeight="1" x14ac:dyDescent="0.25">
      <c r="G350" s="1"/>
      <c r="I350" s="2"/>
      <c r="J350" t="str">
        <f>LEFT(Table2[[#This Row],[Folder]],6)</f>
        <v/>
      </c>
    </row>
    <row r="351" spans="7:10" ht="12" customHeight="1" x14ac:dyDescent="0.25">
      <c r="G351" s="1"/>
      <c r="I351" s="2"/>
      <c r="J351" t="str">
        <f>LEFT(Table2[[#This Row],[Folder]],6)</f>
        <v/>
      </c>
    </row>
    <row r="352" spans="7:10" ht="12" customHeight="1" x14ac:dyDescent="0.25">
      <c r="G352" s="1"/>
      <c r="I352" s="2"/>
      <c r="J352" t="str">
        <f>LEFT(Table2[[#This Row],[Folder]],6)</f>
        <v/>
      </c>
    </row>
    <row r="353" spans="7:10" ht="12" customHeight="1" x14ac:dyDescent="0.25">
      <c r="G353" s="1"/>
      <c r="I353" s="2"/>
      <c r="J353" t="str">
        <f>LEFT(Table2[[#This Row],[Folder]],6)</f>
        <v/>
      </c>
    </row>
    <row r="354" spans="7:10" ht="12" customHeight="1" x14ac:dyDescent="0.25">
      <c r="G354" s="1"/>
      <c r="I354" s="2"/>
      <c r="J354" t="str">
        <f>LEFT(Table2[[#This Row],[Folder]],6)</f>
        <v/>
      </c>
    </row>
    <row r="355" spans="7:10" ht="12" customHeight="1" x14ac:dyDescent="0.25">
      <c r="G355" s="1"/>
      <c r="I355" s="2"/>
      <c r="J355" t="str">
        <f>LEFT(Table2[[#This Row],[Folder]],6)</f>
        <v/>
      </c>
    </row>
    <row r="356" spans="7:10" ht="12" customHeight="1" x14ac:dyDescent="0.25">
      <c r="G356" s="1"/>
      <c r="I356" s="2"/>
      <c r="J356" t="str">
        <f>LEFT(Table2[[#This Row],[Folder]],6)</f>
        <v/>
      </c>
    </row>
    <row r="357" spans="7:10" ht="12" customHeight="1" x14ac:dyDescent="0.25">
      <c r="G357" s="1"/>
      <c r="I357" s="2"/>
      <c r="J357" t="str">
        <f>LEFT(Table2[[#This Row],[Folder]],6)</f>
        <v/>
      </c>
    </row>
    <row r="358" spans="7:10" ht="12" customHeight="1" x14ac:dyDescent="0.25">
      <c r="G358" s="1"/>
      <c r="I358" s="2"/>
      <c r="J358" t="str">
        <f>LEFT(Table2[[#This Row],[Folder]],6)</f>
        <v/>
      </c>
    </row>
    <row r="359" spans="7:10" ht="12" customHeight="1" x14ac:dyDescent="0.25">
      <c r="G359" s="1"/>
      <c r="I359" s="2"/>
      <c r="J359" t="str">
        <f>LEFT(Table2[[#This Row],[Folder]],6)</f>
        <v/>
      </c>
    </row>
    <row r="360" spans="7:10" ht="12" customHeight="1" x14ac:dyDescent="0.25">
      <c r="G360" s="1"/>
      <c r="I360" s="2"/>
      <c r="J360" t="str">
        <f>LEFT(Table2[[#This Row],[Folder]],6)</f>
        <v/>
      </c>
    </row>
    <row r="361" spans="7:10" ht="12" customHeight="1" x14ac:dyDescent="0.25">
      <c r="G361" s="1"/>
      <c r="I361" s="2"/>
      <c r="J361" t="str">
        <f>LEFT(Table2[[#This Row],[Folder]],6)</f>
        <v/>
      </c>
    </row>
    <row r="362" spans="7:10" ht="12" customHeight="1" x14ac:dyDescent="0.25">
      <c r="G362" s="1"/>
      <c r="I362" s="2"/>
      <c r="J362" t="str">
        <f>LEFT(Table2[[#This Row],[Folder]],6)</f>
        <v/>
      </c>
    </row>
    <row r="363" spans="7:10" ht="12" customHeight="1" x14ac:dyDescent="0.25">
      <c r="G363" s="1"/>
      <c r="I363" s="2"/>
      <c r="J363" t="str">
        <f>LEFT(Table2[[#This Row],[Folder]],6)</f>
        <v/>
      </c>
    </row>
    <row r="364" spans="7:10" ht="12" customHeight="1" x14ac:dyDescent="0.25">
      <c r="G364" s="1"/>
      <c r="I364" s="2"/>
      <c r="J364" t="str">
        <f>LEFT(Table2[[#This Row],[Folder]],6)</f>
        <v/>
      </c>
    </row>
    <row r="365" spans="7:10" ht="12" customHeight="1" x14ac:dyDescent="0.25">
      <c r="G365" s="1"/>
      <c r="I365" s="2"/>
      <c r="J365" t="str">
        <f>LEFT(Table2[[#This Row],[Folder]],6)</f>
        <v/>
      </c>
    </row>
    <row r="366" spans="7:10" ht="12" customHeight="1" x14ac:dyDescent="0.25">
      <c r="G366" s="1"/>
      <c r="I366" s="2"/>
      <c r="J366" t="str">
        <f>LEFT(Table2[[#This Row],[Folder]],6)</f>
        <v/>
      </c>
    </row>
    <row r="367" spans="7:10" ht="12" customHeight="1" x14ac:dyDescent="0.25">
      <c r="G367" s="1"/>
      <c r="I367" s="2"/>
      <c r="J367" t="str">
        <f>LEFT(Table2[[#This Row],[Folder]],6)</f>
        <v/>
      </c>
    </row>
    <row r="368" spans="7:10" ht="12" customHeight="1" x14ac:dyDescent="0.25">
      <c r="G368" s="1"/>
      <c r="I368" s="2"/>
      <c r="J368" t="str">
        <f>LEFT(Table2[[#This Row],[Folder]],6)</f>
        <v/>
      </c>
    </row>
    <row r="369" spans="7:10" ht="12" customHeight="1" x14ac:dyDescent="0.25">
      <c r="G369" s="1"/>
      <c r="I369" s="2"/>
      <c r="J369" t="str">
        <f>LEFT(Table2[[#This Row],[Folder]],6)</f>
        <v/>
      </c>
    </row>
    <row r="370" spans="7:10" ht="12" customHeight="1" x14ac:dyDescent="0.25">
      <c r="G370" s="1"/>
      <c r="I370" s="2"/>
      <c r="J370" t="str">
        <f>LEFT(Table2[[#This Row],[Folder]],6)</f>
        <v/>
      </c>
    </row>
    <row r="371" spans="7:10" ht="12" customHeight="1" x14ac:dyDescent="0.25">
      <c r="G371" s="1"/>
      <c r="I371" s="2"/>
      <c r="J371" t="str">
        <f>LEFT(Table2[[#This Row],[Folder]],6)</f>
        <v/>
      </c>
    </row>
    <row r="372" spans="7:10" ht="12" customHeight="1" x14ac:dyDescent="0.25">
      <c r="G372" s="1"/>
      <c r="I372" s="2"/>
      <c r="J372" t="str">
        <f>LEFT(Table2[[#This Row],[Folder]],6)</f>
        <v/>
      </c>
    </row>
    <row r="373" spans="7:10" ht="12" customHeight="1" x14ac:dyDescent="0.25">
      <c r="G373" s="1"/>
      <c r="I373" s="2"/>
      <c r="J373" t="str">
        <f>LEFT(Table2[[#This Row],[Folder]],6)</f>
        <v/>
      </c>
    </row>
    <row r="374" spans="7:10" ht="12" customHeight="1" x14ac:dyDescent="0.25">
      <c r="G374" s="1"/>
      <c r="I374" s="2"/>
      <c r="J374" t="str">
        <f>LEFT(Table2[[#This Row],[Folder]],6)</f>
        <v/>
      </c>
    </row>
    <row r="375" spans="7:10" ht="12" customHeight="1" x14ac:dyDescent="0.25">
      <c r="G375" s="1"/>
      <c r="I375" s="2"/>
      <c r="J375" t="str">
        <f>LEFT(Table2[[#This Row],[Folder]],6)</f>
        <v/>
      </c>
    </row>
    <row r="376" spans="7:10" ht="12" customHeight="1" x14ac:dyDescent="0.25">
      <c r="G376" s="1"/>
      <c r="I376" s="2"/>
      <c r="J376" s="6" t="str">
        <f>LEFT(Table2[[#This Row],[Folder]],6)</f>
        <v/>
      </c>
    </row>
    <row r="377" spans="7:10" ht="12" customHeight="1" x14ac:dyDescent="0.25">
      <c r="G377" s="1"/>
      <c r="I377" s="2"/>
      <c r="J377" s="6" t="str">
        <f>LEFT(Table2[[#This Row],[Folder]],6)</f>
        <v/>
      </c>
    </row>
    <row r="378" spans="7:10" ht="12" customHeight="1" x14ac:dyDescent="0.25">
      <c r="G378" s="1"/>
      <c r="I378" s="2"/>
      <c r="J378" s="6" t="str">
        <f>LEFT(Table2[[#This Row],[Folder]],6)</f>
        <v/>
      </c>
    </row>
    <row r="379" spans="7:10" ht="12" customHeight="1" x14ac:dyDescent="0.25">
      <c r="G379" s="1"/>
      <c r="I379" s="2"/>
      <c r="J379" s="6" t="str">
        <f>LEFT(Table2[[#This Row],[Folder]],6)</f>
        <v/>
      </c>
    </row>
    <row r="380" spans="7:10" ht="12" customHeight="1" x14ac:dyDescent="0.25">
      <c r="G380" s="1"/>
      <c r="I380" s="2"/>
      <c r="J380" s="6" t="str">
        <f>LEFT(Table2[[#This Row],[Folder]],6)</f>
        <v/>
      </c>
    </row>
    <row r="381" spans="7:10" ht="12" customHeight="1" x14ac:dyDescent="0.25">
      <c r="G381" s="1"/>
      <c r="I381" s="2"/>
      <c r="J381" s="6" t="str">
        <f>LEFT(Table2[[#This Row],[Folder]],6)</f>
        <v/>
      </c>
    </row>
    <row r="382" spans="7:10" ht="12" customHeight="1" x14ac:dyDescent="0.25">
      <c r="G382" s="1"/>
      <c r="I382" s="2"/>
      <c r="J382" s="6" t="str">
        <f>LEFT(Table2[[#This Row],[Folder]],6)</f>
        <v/>
      </c>
    </row>
    <row r="383" spans="7:10" ht="12" customHeight="1" x14ac:dyDescent="0.25">
      <c r="G383" s="1"/>
      <c r="I383" s="2"/>
      <c r="J383" s="6" t="str">
        <f>LEFT(Table2[[#This Row],[Folder]],6)</f>
        <v/>
      </c>
    </row>
    <row r="384" spans="7:10" ht="12" customHeight="1" x14ac:dyDescent="0.25">
      <c r="G384" s="1"/>
      <c r="I384" s="2"/>
      <c r="J384" s="6" t="str">
        <f>LEFT(Table2[[#This Row],[Folder]],6)</f>
        <v/>
      </c>
    </row>
    <row r="385" spans="7:10" ht="12" customHeight="1" x14ac:dyDescent="0.25">
      <c r="G385" s="1"/>
      <c r="I385" s="2"/>
      <c r="J385" s="6" t="str">
        <f>LEFT(Table2[[#This Row],[Folder]],6)</f>
        <v/>
      </c>
    </row>
    <row r="386" spans="7:10" ht="12" customHeight="1" x14ac:dyDescent="0.25">
      <c r="G386" s="1"/>
      <c r="I386" s="2"/>
      <c r="J386" s="6" t="str">
        <f>LEFT(Table2[[#This Row],[Folder]],6)</f>
        <v/>
      </c>
    </row>
    <row r="387" spans="7:10" ht="12" customHeight="1" x14ac:dyDescent="0.25">
      <c r="G387" s="1"/>
      <c r="I387" s="2"/>
      <c r="J387" s="6" t="str">
        <f>LEFT(Table2[[#This Row],[Folder]],6)</f>
        <v/>
      </c>
    </row>
    <row r="388" spans="7:10" ht="12" customHeight="1" x14ac:dyDescent="0.25">
      <c r="G388" s="1"/>
      <c r="I388" s="2"/>
      <c r="J388" s="6" t="str">
        <f>LEFT(Table2[[#This Row],[Folder]],6)</f>
        <v/>
      </c>
    </row>
    <row r="389" spans="7:10" ht="12" customHeight="1" x14ac:dyDescent="0.25">
      <c r="G389" s="1"/>
      <c r="I389" s="2"/>
      <c r="J389" s="6" t="str">
        <f>LEFT(Table2[[#This Row],[Folder]],6)</f>
        <v/>
      </c>
    </row>
    <row r="390" spans="7:10" ht="12" customHeight="1" x14ac:dyDescent="0.25">
      <c r="G390" s="1"/>
      <c r="I390" s="2"/>
      <c r="J390" s="6" t="str">
        <f>LEFT(Table2[[#This Row],[Folder]],6)</f>
        <v/>
      </c>
    </row>
    <row r="391" spans="7:10" ht="12" customHeight="1" x14ac:dyDescent="0.25">
      <c r="G391" s="1"/>
      <c r="I391" s="2"/>
      <c r="J391" s="6" t="str">
        <f>LEFT(Table2[[#This Row],[Folder]],6)</f>
        <v/>
      </c>
    </row>
    <row r="392" spans="7:10" ht="12" customHeight="1" x14ac:dyDescent="0.25">
      <c r="G392" s="1"/>
      <c r="I392" s="2"/>
      <c r="J392" s="6" t="str">
        <f>LEFT(Table2[[#This Row],[Folder]],6)</f>
        <v/>
      </c>
    </row>
    <row r="393" spans="7:10" ht="12" customHeight="1" x14ac:dyDescent="0.25">
      <c r="G393" s="1"/>
      <c r="I393" s="2"/>
      <c r="J393" s="6" t="str">
        <f>LEFT(Table2[[#This Row],[Folder]],6)</f>
        <v/>
      </c>
    </row>
    <row r="394" spans="7:10" ht="12" customHeight="1" x14ac:dyDescent="0.25">
      <c r="G394" s="1"/>
      <c r="I394" s="2"/>
      <c r="J394" s="6" t="str">
        <f>LEFT(Table2[[#This Row],[Folder]],6)</f>
        <v/>
      </c>
    </row>
    <row r="395" spans="7:10" ht="12" customHeight="1" x14ac:dyDescent="0.25">
      <c r="G395" s="1"/>
      <c r="I395" s="2"/>
      <c r="J395" s="6" t="str">
        <f>LEFT(Table2[[#This Row],[Folder]],6)</f>
        <v/>
      </c>
    </row>
    <row r="396" spans="7:10" ht="12" customHeight="1" x14ac:dyDescent="0.25">
      <c r="G396" s="1"/>
      <c r="I396" s="2"/>
      <c r="J396" s="6" t="str">
        <f>LEFT(Table2[[#This Row],[Folder]],6)</f>
        <v/>
      </c>
    </row>
    <row r="397" spans="7:10" ht="12" customHeight="1" x14ac:dyDescent="0.25">
      <c r="G397" s="1"/>
      <c r="I397" s="2"/>
      <c r="J397" s="6" t="str">
        <f>LEFT(Table2[[#This Row],[Folder]],6)</f>
        <v/>
      </c>
    </row>
    <row r="398" spans="7:10" ht="12" customHeight="1" x14ac:dyDescent="0.25">
      <c r="G398" s="1"/>
      <c r="I398" s="2"/>
      <c r="J398" s="6" t="str">
        <f>LEFT(Table2[[#This Row],[Folder]],6)</f>
        <v/>
      </c>
    </row>
    <row r="399" spans="7:10" ht="12" customHeight="1" x14ac:dyDescent="0.25">
      <c r="G399" s="1"/>
      <c r="I399" s="2"/>
      <c r="J399" s="6" t="str">
        <f>LEFT(Table2[[#This Row],[Folder]],6)</f>
        <v/>
      </c>
    </row>
    <row r="400" spans="7:10" ht="12" customHeight="1" x14ac:dyDescent="0.25">
      <c r="G400" s="1"/>
      <c r="I400" s="2"/>
      <c r="J400" s="6" t="str">
        <f>LEFT(Table2[[#This Row],[Folder]],6)</f>
        <v/>
      </c>
    </row>
    <row r="401" spans="7:10" ht="12" customHeight="1" x14ac:dyDescent="0.25">
      <c r="G401" s="1"/>
      <c r="I401" s="2"/>
      <c r="J401" s="6" t="str">
        <f>LEFT(Table2[[#This Row],[Folder]],6)</f>
        <v/>
      </c>
    </row>
    <row r="402" spans="7:10" ht="12" customHeight="1" x14ac:dyDescent="0.25">
      <c r="G402" s="1"/>
      <c r="I402" s="2"/>
      <c r="J402" s="6" t="str">
        <f>LEFT(Table2[[#This Row],[Folder]],6)</f>
        <v/>
      </c>
    </row>
    <row r="403" spans="7:10" ht="12" customHeight="1" x14ac:dyDescent="0.25">
      <c r="G403" s="1"/>
      <c r="I403" s="2"/>
      <c r="J403" s="6" t="str">
        <f>LEFT(Table2[[#This Row],[Folder]],6)</f>
        <v/>
      </c>
    </row>
    <row r="404" spans="7:10" ht="12" customHeight="1" x14ac:dyDescent="0.25">
      <c r="G404" s="1"/>
      <c r="I404" s="2"/>
      <c r="J404" s="6" t="str">
        <f>LEFT(Table2[[#This Row],[Folder]],6)</f>
        <v/>
      </c>
    </row>
    <row r="405" spans="7:10" ht="12" customHeight="1" x14ac:dyDescent="0.25">
      <c r="G405" s="1"/>
      <c r="I405" s="2"/>
      <c r="J405" s="6" t="str">
        <f>LEFT(Table2[[#This Row],[Folder]],6)</f>
        <v/>
      </c>
    </row>
    <row r="406" spans="7:10" ht="12" customHeight="1" x14ac:dyDescent="0.25">
      <c r="G406" s="1"/>
      <c r="I406" s="2"/>
      <c r="J406" s="6" t="str">
        <f>LEFT(Table2[[#This Row],[Folder]],6)</f>
        <v/>
      </c>
    </row>
    <row r="407" spans="7:10" ht="12" customHeight="1" x14ac:dyDescent="0.25">
      <c r="G407" s="1"/>
      <c r="I407" s="2"/>
      <c r="J407" s="6" t="str">
        <f>LEFT(Table2[[#This Row],[Folder]],6)</f>
        <v/>
      </c>
    </row>
    <row r="408" spans="7:10" ht="12" customHeight="1" x14ac:dyDescent="0.25">
      <c r="G408" s="1"/>
      <c r="I408" s="2"/>
      <c r="J408" s="6" t="str">
        <f>LEFT(Table2[[#This Row],[Folder]],6)</f>
        <v/>
      </c>
    </row>
    <row r="409" spans="7:10" ht="12" customHeight="1" x14ac:dyDescent="0.25">
      <c r="G409" s="1"/>
      <c r="I409" s="2"/>
      <c r="J409" s="6" t="str">
        <f>LEFT(Table2[[#This Row],[Folder]],6)</f>
        <v/>
      </c>
    </row>
    <row r="410" spans="7:10" ht="12" customHeight="1" x14ac:dyDescent="0.25">
      <c r="G410" s="1"/>
      <c r="I410" s="2"/>
      <c r="J410" s="6" t="str">
        <f>LEFT(Table2[[#This Row],[Folder]],6)</f>
        <v/>
      </c>
    </row>
    <row r="411" spans="7:10" ht="12" customHeight="1" x14ac:dyDescent="0.25">
      <c r="G411" s="1"/>
      <c r="I411" s="2"/>
      <c r="J411" s="6" t="str">
        <f>LEFT(Table2[[#This Row],[Folder]],6)</f>
        <v/>
      </c>
    </row>
    <row r="412" spans="7:10" ht="12" customHeight="1" x14ac:dyDescent="0.25">
      <c r="G412" s="1"/>
      <c r="I412" s="2"/>
      <c r="J412" s="6" t="str">
        <f>LEFT(Table2[[#This Row],[Folder]],6)</f>
        <v/>
      </c>
    </row>
    <row r="413" spans="7:10" ht="12" customHeight="1" x14ac:dyDescent="0.25">
      <c r="G413" s="1"/>
      <c r="I413" s="2"/>
      <c r="J413" s="6" t="str">
        <f>LEFT(Table2[[#This Row],[Folder]],6)</f>
        <v/>
      </c>
    </row>
    <row r="414" spans="7:10" ht="12" customHeight="1" x14ac:dyDescent="0.25">
      <c r="G414" s="1"/>
      <c r="I414" s="2"/>
      <c r="J414" s="6" t="str">
        <f>LEFT(Table2[[#This Row],[Folder]],6)</f>
        <v/>
      </c>
    </row>
    <row r="415" spans="7:10" ht="12" customHeight="1" x14ac:dyDescent="0.25">
      <c r="G415" s="1"/>
      <c r="I415" s="2"/>
      <c r="J415" s="6" t="str">
        <f>LEFT(Table2[[#This Row],[Folder]],6)</f>
        <v/>
      </c>
    </row>
    <row r="416" spans="7:10" ht="12" customHeight="1" x14ac:dyDescent="0.25">
      <c r="G416" s="1"/>
      <c r="I416" s="2"/>
      <c r="J416" s="6" t="str">
        <f>LEFT(Table2[[#This Row],[Folder]],6)</f>
        <v/>
      </c>
    </row>
    <row r="417" spans="7:10" ht="12" customHeight="1" x14ac:dyDescent="0.25">
      <c r="G417" s="1"/>
      <c r="I417" s="2"/>
      <c r="J417" s="6" t="str">
        <f>LEFT(Table2[[#This Row],[Folder]],6)</f>
        <v/>
      </c>
    </row>
    <row r="418" spans="7:10" ht="12" customHeight="1" x14ac:dyDescent="0.25">
      <c r="G418" s="1"/>
      <c r="I418" s="2"/>
      <c r="J418" s="6" t="str">
        <f>LEFT(Table2[[#This Row],[Folder]],6)</f>
        <v/>
      </c>
    </row>
    <row r="419" spans="7:10" ht="12" customHeight="1" x14ac:dyDescent="0.25">
      <c r="G419" s="1"/>
      <c r="I419" s="2"/>
      <c r="J419" s="6" t="str">
        <f>LEFT(Table2[[#This Row],[Folder]],6)</f>
        <v/>
      </c>
    </row>
    <row r="420" spans="7:10" ht="12" customHeight="1" x14ac:dyDescent="0.25">
      <c r="G420" s="1"/>
      <c r="I420" s="2"/>
      <c r="J420" s="6" t="str">
        <f>LEFT(Table2[[#This Row],[Folder]],6)</f>
        <v/>
      </c>
    </row>
    <row r="421" spans="7:10" ht="12" customHeight="1" x14ac:dyDescent="0.25">
      <c r="G421" s="1"/>
      <c r="I421" s="2"/>
      <c r="J421" s="6" t="str">
        <f>LEFT(Table2[[#This Row],[Folder]],6)</f>
        <v/>
      </c>
    </row>
    <row r="422" spans="7:10" ht="12" customHeight="1" x14ac:dyDescent="0.25">
      <c r="G422" s="1"/>
      <c r="I422" s="2"/>
      <c r="J422" s="6" t="str">
        <f>LEFT(Table2[[#This Row],[Folder]],6)</f>
        <v/>
      </c>
    </row>
    <row r="423" spans="7:10" ht="12" customHeight="1" x14ac:dyDescent="0.25">
      <c r="G423" s="1"/>
      <c r="I423" s="2"/>
      <c r="J423" s="6" t="str">
        <f>LEFT(Table2[[#This Row],[Folder]],6)</f>
        <v/>
      </c>
    </row>
    <row r="424" spans="7:10" ht="12" customHeight="1" x14ac:dyDescent="0.25">
      <c r="G424" s="1"/>
      <c r="I424" s="2"/>
      <c r="J424" s="6" t="str">
        <f>LEFT(Table2[[#This Row],[Folder]],6)</f>
        <v/>
      </c>
    </row>
    <row r="425" spans="7:10" ht="12" customHeight="1" x14ac:dyDescent="0.25">
      <c r="G425" s="1"/>
      <c r="I425" s="2"/>
      <c r="J425" s="6" t="str">
        <f>LEFT(Table2[[#This Row],[Folder]],6)</f>
        <v/>
      </c>
    </row>
    <row r="426" spans="7:10" ht="12" customHeight="1" x14ac:dyDescent="0.25">
      <c r="G426" s="1"/>
      <c r="I426" s="2"/>
      <c r="J426" s="6" t="str">
        <f>LEFT(Table2[[#This Row],[Folder]],6)</f>
        <v/>
      </c>
    </row>
    <row r="427" spans="7:10" ht="12" customHeight="1" x14ac:dyDescent="0.25">
      <c r="G427" s="1"/>
      <c r="I427" s="2"/>
      <c r="J427" s="6" t="str">
        <f>LEFT(Table2[[#This Row],[Folder]],6)</f>
        <v/>
      </c>
    </row>
    <row r="428" spans="7:10" ht="12" customHeight="1" x14ac:dyDescent="0.25">
      <c r="G428" s="1"/>
      <c r="I428" s="2"/>
      <c r="J428" s="6" t="str">
        <f>LEFT(Table2[[#This Row],[Folder]],6)</f>
        <v/>
      </c>
    </row>
    <row r="429" spans="7:10" ht="12" customHeight="1" x14ac:dyDescent="0.25">
      <c r="G429" s="1"/>
      <c r="I429" s="2"/>
      <c r="J429" s="6" t="str">
        <f>LEFT(Table2[[#This Row],[Folder]],6)</f>
        <v/>
      </c>
    </row>
    <row r="430" spans="7:10" ht="12" customHeight="1" x14ac:dyDescent="0.25">
      <c r="G430" s="1"/>
      <c r="I430" s="2"/>
      <c r="J430" s="6" t="str">
        <f>LEFT(Table2[[#This Row],[Folder]],6)</f>
        <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5C34D-7642-4000-9EA7-A2A6180F01B1}">
  <sheetPr codeName="Sheet5"/>
  <dimension ref="A3:F9"/>
  <sheetViews>
    <sheetView workbookViewId="0">
      <selection activeCell="D10" sqref="D10"/>
    </sheetView>
  </sheetViews>
  <sheetFormatPr defaultRowHeight="15" x14ac:dyDescent="0.25"/>
  <cols>
    <col min="1" max="1" width="15.7109375" bestFit="1" customWidth="1"/>
    <col min="2" max="2" width="16.28515625" bestFit="1" customWidth="1"/>
    <col min="3" max="5" width="9.7109375" bestFit="1" customWidth="1"/>
    <col min="6" max="7" width="11.28515625" bestFit="1" customWidth="1"/>
    <col min="8" max="14" width="6.85546875" bestFit="1" customWidth="1"/>
    <col min="15" max="15" width="9" bestFit="1" customWidth="1"/>
    <col min="16" max="16" width="11.28515625" bestFit="1" customWidth="1"/>
    <col min="17" max="19" width="6.85546875" bestFit="1" customWidth="1"/>
    <col min="20" max="20" width="9" bestFit="1" customWidth="1"/>
    <col min="21" max="21" width="11.28515625" bestFit="1" customWidth="1"/>
    <col min="22" max="26" width="6.85546875" bestFit="1" customWidth="1"/>
    <col min="27" max="27" width="9" bestFit="1" customWidth="1"/>
    <col min="28" max="28" width="11.28515625" bestFit="1" customWidth="1"/>
  </cols>
  <sheetData>
    <row r="3" spans="1:6" x14ac:dyDescent="0.25">
      <c r="A3" s="4" t="s">
        <v>19</v>
      </c>
      <c r="B3" s="4" t="s">
        <v>56</v>
      </c>
    </row>
    <row r="4" spans="1:6" x14ac:dyDescent="0.25">
      <c r="A4" s="4" t="s">
        <v>17</v>
      </c>
      <c r="B4" s="7">
        <v>44673</v>
      </c>
      <c r="C4" s="7">
        <v>44678</v>
      </c>
      <c r="D4" s="7">
        <v>44677</v>
      </c>
      <c r="E4" s="7">
        <v>44679</v>
      </c>
      <c r="F4" s="7" t="s">
        <v>18</v>
      </c>
    </row>
    <row r="5" spans="1:6" x14ac:dyDescent="0.25">
      <c r="A5" s="5" t="s">
        <v>48</v>
      </c>
      <c r="B5" s="6"/>
      <c r="C5" s="6">
        <v>1</v>
      </c>
      <c r="D5" s="6"/>
      <c r="E5" s="6"/>
      <c r="F5" s="6">
        <v>1</v>
      </c>
    </row>
    <row r="6" spans="1:6" x14ac:dyDescent="0.25">
      <c r="A6" s="5" t="s">
        <v>44</v>
      </c>
      <c r="B6" s="6">
        <v>2</v>
      </c>
      <c r="C6" s="6"/>
      <c r="D6" s="6">
        <v>1</v>
      </c>
      <c r="E6" s="6"/>
      <c r="F6" s="6">
        <v>3</v>
      </c>
    </row>
    <row r="7" spans="1:6" x14ac:dyDescent="0.25">
      <c r="A7" s="5" t="s">
        <v>45</v>
      </c>
      <c r="B7" s="6"/>
      <c r="C7" s="6"/>
      <c r="D7" s="6">
        <v>1</v>
      </c>
      <c r="E7" s="6"/>
      <c r="F7" s="6">
        <v>1</v>
      </c>
    </row>
    <row r="8" spans="1:6" x14ac:dyDescent="0.25">
      <c r="A8" s="5" t="s">
        <v>53</v>
      </c>
      <c r="B8" s="6"/>
      <c r="C8" s="6"/>
      <c r="D8" s="6"/>
      <c r="E8" s="6">
        <v>1</v>
      </c>
      <c r="F8" s="6">
        <v>1</v>
      </c>
    </row>
    <row r="9" spans="1:6" x14ac:dyDescent="0.25">
      <c r="A9" s="5" t="s">
        <v>18</v>
      </c>
      <c r="B9" s="6">
        <v>2</v>
      </c>
      <c r="C9" s="6">
        <v>1</v>
      </c>
      <c r="D9" s="6">
        <v>2</v>
      </c>
      <c r="E9" s="6">
        <v>1</v>
      </c>
      <c r="F9" s="6">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0089C-39BE-4406-8E49-99E87C699D75}">
  <sheetPr codeName="Sheet6"/>
  <dimension ref="A1:I111"/>
  <sheetViews>
    <sheetView workbookViewId="0">
      <selection activeCell="A2" sqref="A2"/>
    </sheetView>
  </sheetViews>
  <sheetFormatPr defaultRowHeight="15" x14ac:dyDescent="0.25"/>
  <cols>
    <col min="1" max="1" width="9.5703125" bestFit="1" customWidth="1"/>
    <col min="2" max="2" width="16.5703125" bestFit="1" customWidth="1"/>
    <col min="3" max="3" width="81.5703125" bestFit="1" customWidth="1"/>
    <col min="4" max="4" width="14.7109375" bestFit="1" customWidth="1"/>
    <col min="5" max="5" width="13.85546875" bestFit="1" customWidth="1"/>
    <col min="6" max="6" width="12.28515625" bestFit="1" customWidth="1"/>
    <col min="7" max="7" width="11.42578125" bestFit="1" customWidth="1"/>
    <col min="8" max="8" width="8.42578125" bestFit="1" customWidth="1"/>
    <col min="9" max="9" width="12.42578125" customWidth="1"/>
  </cols>
  <sheetData>
    <row r="1" spans="1:9" x14ac:dyDescent="0.25">
      <c r="A1" t="s">
        <v>42</v>
      </c>
      <c r="B1" t="s">
        <v>20</v>
      </c>
      <c r="C1" t="s">
        <v>14</v>
      </c>
      <c r="D1" t="s">
        <v>21</v>
      </c>
      <c r="E1" t="s">
        <v>22</v>
      </c>
      <c r="F1" t="s">
        <v>23</v>
      </c>
      <c r="G1" t="s">
        <v>24</v>
      </c>
      <c r="H1" t="s">
        <v>25</v>
      </c>
      <c r="I1" t="s">
        <v>26</v>
      </c>
    </row>
    <row r="2" spans="1:9" x14ac:dyDescent="0.25">
      <c r="A2" t="s">
        <v>43</v>
      </c>
      <c r="B2" t="s">
        <v>54</v>
      </c>
      <c r="C2" t="s">
        <v>490</v>
      </c>
      <c r="D2" s="7">
        <v>44678</v>
      </c>
      <c r="E2" s="7">
        <v>44679</v>
      </c>
      <c r="F2" s="8">
        <v>0</v>
      </c>
      <c r="G2" s="8">
        <v>0</v>
      </c>
      <c r="H2" s="9">
        <v>24</v>
      </c>
    </row>
    <row r="3" spans="1:9" x14ac:dyDescent="0.25">
      <c r="A3" t="s">
        <v>44</v>
      </c>
      <c r="B3" t="s">
        <v>27</v>
      </c>
      <c r="C3" t="s">
        <v>227</v>
      </c>
      <c r="D3" s="7">
        <v>44673</v>
      </c>
      <c r="E3" s="7">
        <v>44673</v>
      </c>
      <c r="F3" s="8">
        <v>0.58333333333333337</v>
      </c>
      <c r="G3" s="8">
        <v>0.60416666666666663</v>
      </c>
      <c r="H3" s="9">
        <v>0.5</v>
      </c>
      <c r="I3" t="s">
        <v>228</v>
      </c>
    </row>
    <row r="4" spans="1:9" x14ac:dyDescent="0.25">
      <c r="A4" t="s">
        <v>43</v>
      </c>
      <c r="B4" t="s">
        <v>27</v>
      </c>
      <c r="C4" t="s">
        <v>229</v>
      </c>
      <c r="D4" s="7">
        <v>44673</v>
      </c>
      <c r="E4" s="7">
        <v>44673</v>
      </c>
      <c r="F4" s="8">
        <v>0.60416666666666663</v>
      </c>
      <c r="G4" s="8">
        <v>0.625</v>
      </c>
      <c r="H4" s="9">
        <v>0.5</v>
      </c>
      <c r="I4" t="s">
        <v>230</v>
      </c>
    </row>
    <row r="5" spans="1:9" x14ac:dyDescent="0.25">
      <c r="A5" t="s">
        <v>43</v>
      </c>
      <c r="B5" t="s">
        <v>27</v>
      </c>
      <c r="C5" t="s">
        <v>231</v>
      </c>
      <c r="D5" s="7">
        <v>44673</v>
      </c>
      <c r="E5" s="7">
        <v>44673</v>
      </c>
      <c r="F5" s="8">
        <v>0.625</v>
      </c>
      <c r="G5" s="8">
        <v>0.64583333333333337</v>
      </c>
      <c r="H5" s="9">
        <v>0.5</v>
      </c>
      <c r="I5" t="s">
        <v>134</v>
      </c>
    </row>
    <row r="6" spans="1:9" x14ac:dyDescent="0.25">
      <c r="A6" t="s">
        <v>44</v>
      </c>
      <c r="B6" t="s">
        <v>27</v>
      </c>
      <c r="C6" t="s">
        <v>232</v>
      </c>
      <c r="D6" s="7">
        <v>44673</v>
      </c>
      <c r="E6" s="7">
        <v>44673</v>
      </c>
      <c r="F6" s="8">
        <v>0.72916666666666663</v>
      </c>
      <c r="G6" s="8">
        <v>0.79166666666666663</v>
      </c>
      <c r="H6" s="9">
        <v>1.5</v>
      </c>
      <c r="I6" t="s">
        <v>484</v>
      </c>
    </row>
    <row r="7" spans="1:9" x14ac:dyDescent="0.25">
      <c r="A7" t="s">
        <v>43</v>
      </c>
      <c r="B7" t="s">
        <v>27</v>
      </c>
      <c r="C7" t="s">
        <v>485</v>
      </c>
      <c r="D7" s="7">
        <v>44676</v>
      </c>
      <c r="E7" s="7">
        <v>44676</v>
      </c>
      <c r="F7" s="8">
        <v>0.58333333333333337</v>
      </c>
      <c r="G7" s="8">
        <v>0.60416666666666663</v>
      </c>
      <c r="H7" s="9">
        <v>0.5</v>
      </c>
      <c r="I7" t="s">
        <v>486</v>
      </c>
    </row>
    <row r="8" spans="1:9" x14ac:dyDescent="0.25">
      <c r="A8" t="s">
        <v>43</v>
      </c>
      <c r="B8" t="s">
        <v>27</v>
      </c>
      <c r="C8" t="s">
        <v>36</v>
      </c>
      <c r="D8" s="7">
        <v>44677</v>
      </c>
      <c r="E8" s="7">
        <v>44677</v>
      </c>
      <c r="F8" s="8">
        <v>0.375</v>
      </c>
      <c r="G8" s="8">
        <v>0.39583333333333331</v>
      </c>
      <c r="H8" s="9">
        <v>0.5</v>
      </c>
      <c r="I8" t="s">
        <v>37</v>
      </c>
    </row>
    <row r="9" spans="1:9" x14ac:dyDescent="0.25">
      <c r="A9" t="s">
        <v>43</v>
      </c>
      <c r="B9" t="s">
        <v>27</v>
      </c>
      <c r="C9" t="s">
        <v>38</v>
      </c>
      <c r="D9" s="7">
        <v>44677</v>
      </c>
      <c r="E9" s="7">
        <v>44677</v>
      </c>
      <c r="F9" s="8">
        <v>0.39583333333333331</v>
      </c>
      <c r="G9" s="8">
        <v>0.41666666666666669</v>
      </c>
      <c r="H9" s="9">
        <v>0.5</v>
      </c>
      <c r="I9" t="s">
        <v>51</v>
      </c>
    </row>
    <row r="10" spans="1:9" x14ac:dyDescent="0.25">
      <c r="A10" t="s">
        <v>43</v>
      </c>
      <c r="B10" t="s">
        <v>27</v>
      </c>
      <c r="C10" t="s">
        <v>39</v>
      </c>
      <c r="D10" s="7">
        <v>44677</v>
      </c>
      <c r="E10" s="7">
        <v>44677</v>
      </c>
      <c r="F10" s="8">
        <v>0.41666666666666669</v>
      </c>
      <c r="G10" s="8">
        <v>0.45833333333333331</v>
      </c>
      <c r="H10" s="9">
        <v>1</v>
      </c>
      <c r="I10" t="s">
        <v>40</v>
      </c>
    </row>
    <row r="11" spans="1:9" x14ac:dyDescent="0.25">
      <c r="A11" t="s">
        <v>45</v>
      </c>
      <c r="B11" t="s">
        <v>27</v>
      </c>
      <c r="C11" t="s">
        <v>71</v>
      </c>
      <c r="D11" s="7">
        <v>44677</v>
      </c>
      <c r="E11" s="7">
        <v>44677</v>
      </c>
      <c r="F11" s="8">
        <v>0.41666666666666669</v>
      </c>
      <c r="G11" s="8">
        <v>0.4375</v>
      </c>
      <c r="H11" s="9">
        <v>0.5</v>
      </c>
      <c r="I11" t="s">
        <v>487</v>
      </c>
    </row>
    <row r="12" spans="1:9" x14ac:dyDescent="0.25">
      <c r="A12" t="s">
        <v>43</v>
      </c>
      <c r="B12" t="s">
        <v>27</v>
      </c>
      <c r="C12" t="s">
        <v>488</v>
      </c>
      <c r="D12" s="7">
        <v>44677</v>
      </c>
      <c r="E12" s="7">
        <v>44677</v>
      </c>
      <c r="F12" s="8">
        <v>0.52083333333333337</v>
      </c>
      <c r="G12" s="8">
        <v>0.54166666666666663</v>
      </c>
      <c r="H12" s="9">
        <v>0.5</v>
      </c>
      <c r="I12" t="s">
        <v>489</v>
      </c>
    </row>
    <row r="13" spans="1:9" x14ac:dyDescent="0.25">
      <c r="A13" t="s">
        <v>44</v>
      </c>
      <c r="B13" t="s">
        <v>27</v>
      </c>
      <c r="C13" t="s">
        <v>41</v>
      </c>
      <c r="D13" s="7">
        <v>44677</v>
      </c>
      <c r="E13" s="7">
        <v>44677</v>
      </c>
      <c r="F13" s="8">
        <v>0.58333333333333337</v>
      </c>
      <c r="G13" s="8">
        <v>0.60416666666666663</v>
      </c>
      <c r="H13" s="9">
        <v>0.5</v>
      </c>
      <c r="I13" t="s">
        <v>226</v>
      </c>
    </row>
    <row r="14" spans="1:9" x14ac:dyDescent="0.25">
      <c r="A14" t="s">
        <v>43</v>
      </c>
      <c r="B14" t="s">
        <v>27</v>
      </c>
      <c r="C14" t="s">
        <v>491</v>
      </c>
      <c r="D14" s="7">
        <v>44678</v>
      </c>
      <c r="E14" s="7">
        <v>44678</v>
      </c>
      <c r="F14" s="8">
        <v>0.39583333333333331</v>
      </c>
      <c r="G14" s="8">
        <v>0.41666666666666669</v>
      </c>
      <c r="H14" s="9">
        <v>0.5</v>
      </c>
      <c r="I14" t="s">
        <v>492</v>
      </c>
    </row>
    <row r="15" spans="1:9" x14ac:dyDescent="0.25">
      <c r="A15" t="s">
        <v>285</v>
      </c>
      <c r="B15" t="s">
        <v>27</v>
      </c>
      <c r="C15" t="s">
        <v>493</v>
      </c>
      <c r="D15" s="7">
        <v>44678</v>
      </c>
      <c r="E15" s="7">
        <v>44678</v>
      </c>
      <c r="F15" s="8">
        <v>0.45833333333333331</v>
      </c>
      <c r="G15" s="8">
        <v>0.47916666666666669</v>
      </c>
      <c r="H15" s="9">
        <v>0.5</v>
      </c>
      <c r="I15" t="s">
        <v>494</v>
      </c>
    </row>
    <row r="16" spans="1:9" x14ac:dyDescent="0.25">
      <c r="A16" t="s">
        <v>43</v>
      </c>
      <c r="B16" t="s">
        <v>27</v>
      </c>
      <c r="C16" t="s">
        <v>104</v>
      </c>
      <c r="D16" s="7">
        <v>44678</v>
      </c>
      <c r="E16" s="7">
        <v>44678</v>
      </c>
      <c r="F16" s="8">
        <v>0.5</v>
      </c>
      <c r="G16" s="8">
        <v>0.52083333333333337</v>
      </c>
      <c r="H16" s="9">
        <v>0.5</v>
      </c>
      <c r="I16" t="s">
        <v>495</v>
      </c>
    </row>
    <row r="17" spans="1:9" x14ac:dyDescent="0.25">
      <c r="A17" t="s">
        <v>43</v>
      </c>
      <c r="B17" t="s">
        <v>27</v>
      </c>
      <c r="C17" t="s">
        <v>496</v>
      </c>
      <c r="D17" s="7">
        <v>44678</v>
      </c>
      <c r="E17" s="7">
        <v>44678</v>
      </c>
      <c r="F17" s="8">
        <v>0.52083333333333337</v>
      </c>
      <c r="G17" s="8">
        <v>0.54166666666666663</v>
      </c>
      <c r="H17" s="9">
        <v>0.5</v>
      </c>
      <c r="I17" t="s">
        <v>497</v>
      </c>
    </row>
    <row r="18" spans="1:9" x14ac:dyDescent="0.25">
      <c r="A18" t="s">
        <v>43</v>
      </c>
      <c r="B18" t="s">
        <v>27</v>
      </c>
      <c r="C18" t="s">
        <v>498</v>
      </c>
      <c r="D18" s="7">
        <v>44678</v>
      </c>
      <c r="E18" s="7">
        <v>44678</v>
      </c>
      <c r="F18" s="8">
        <v>0.60416666666666663</v>
      </c>
      <c r="G18" s="8">
        <v>0.64583333333333337</v>
      </c>
      <c r="H18" s="9">
        <v>1</v>
      </c>
      <c r="I18" t="s">
        <v>499</v>
      </c>
    </row>
    <row r="19" spans="1:9" x14ac:dyDescent="0.25">
      <c r="A19" t="s">
        <v>43</v>
      </c>
      <c r="B19" t="s">
        <v>27</v>
      </c>
      <c r="C19" t="s">
        <v>500</v>
      </c>
      <c r="D19" s="7">
        <v>44678</v>
      </c>
      <c r="E19" s="7">
        <v>44678</v>
      </c>
      <c r="F19" s="8">
        <v>0.83333333333333337</v>
      </c>
      <c r="G19" s="8">
        <v>0.875</v>
      </c>
      <c r="H19" s="9">
        <v>1</v>
      </c>
      <c r="I19" t="s">
        <v>501</v>
      </c>
    </row>
    <row r="20" spans="1:9" x14ac:dyDescent="0.25">
      <c r="A20" t="s">
        <v>43</v>
      </c>
      <c r="B20" t="s">
        <v>27</v>
      </c>
      <c r="C20" t="s">
        <v>133</v>
      </c>
      <c r="D20" s="7">
        <v>44679</v>
      </c>
      <c r="E20" s="7">
        <v>44679</v>
      </c>
      <c r="F20" s="8">
        <v>0.41666666666666669</v>
      </c>
      <c r="G20" s="8">
        <v>0.45833333333333331</v>
      </c>
      <c r="H20" s="9">
        <v>1</v>
      </c>
      <c r="I20" t="s">
        <v>502</v>
      </c>
    </row>
    <row r="21" spans="1:9" x14ac:dyDescent="0.25">
      <c r="A21" t="s">
        <v>43</v>
      </c>
      <c r="B21" t="s">
        <v>27</v>
      </c>
      <c r="C21" t="s">
        <v>503</v>
      </c>
      <c r="D21" s="7">
        <v>44679</v>
      </c>
      <c r="E21" s="7">
        <v>44679</v>
      </c>
      <c r="F21" s="8">
        <v>0.60416666666666663</v>
      </c>
      <c r="G21" s="8">
        <v>0.62152777777777779</v>
      </c>
      <c r="H21" s="9">
        <v>0.41666666666666669</v>
      </c>
      <c r="I21" t="s">
        <v>504</v>
      </c>
    </row>
    <row r="22" spans="1:9" x14ac:dyDescent="0.25">
      <c r="A22" t="s">
        <v>53</v>
      </c>
      <c r="B22" t="s">
        <v>27</v>
      </c>
      <c r="C22" t="s">
        <v>319</v>
      </c>
      <c r="D22" s="7">
        <v>44679</v>
      </c>
      <c r="E22" s="7">
        <v>44679</v>
      </c>
      <c r="F22" s="8">
        <v>0.64583333333333337</v>
      </c>
      <c r="G22" s="8">
        <v>0.66666666666666663</v>
      </c>
      <c r="H22" s="9">
        <v>0.5</v>
      </c>
      <c r="I22" t="s">
        <v>505</v>
      </c>
    </row>
    <row r="23" spans="1:9" x14ac:dyDescent="0.25">
      <c r="A23" t="s">
        <v>43</v>
      </c>
      <c r="B23" t="s">
        <v>27</v>
      </c>
      <c r="C23" t="s">
        <v>506</v>
      </c>
      <c r="D23" s="7">
        <v>44680</v>
      </c>
      <c r="E23" s="7">
        <v>44680</v>
      </c>
      <c r="F23" s="8">
        <v>0.45833333333333331</v>
      </c>
      <c r="G23" s="8">
        <v>0.47916666666666669</v>
      </c>
      <c r="H23" s="9">
        <v>0.5</v>
      </c>
      <c r="I23" t="s">
        <v>507</v>
      </c>
    </row>
    <row r="24" spans="1:9" x14ac:dyDescent="0.25">
      <c r="A24" t="s">
        <v>43</v>
      </c>
      <c r="B24" t="s">
        <v>27</v>
      </c>
      <c r="C24" t="s">
        <v>508</v>
      </c>
      <c r="D24" s="7">
        <v>44680</v>
      </c>
      <c r="E24" s="7">
        <v>44680</v>
      </c>
      <c r="F24" s="8">
        <v>0.47916666666666669</v>
      </c>
      <c r="G24" s="8">
        <v>0.5</v>
      </c>
      <c r="H24" s="9">
        <v>0.5</v>
      </c>
      <c r="I24" t="s">
        <v>509</v>
      </c>
    </row>
    <row r="25" spans="1:9" x14ac:dyDescent="0.25">
      <c r="A25" t="s">
        <v>43</v>
      </c>
      <c r="B25" t="s">
        <v>27</v>
      </c>
      <c r="C25" t="s">
        <v>435</v>
      </c>
      <c r="D25" s="7">
        <v>44680</v>
      </c>
      <c r="E25" s="7">
        <v>44680</v>
      </c>
      <c r="F25" s="8">
        <v>0.50694444444444442</v>
      </c>
      <c r="G25" s="8">
        <v>0.54861111111111105</v>
      </c>
      <c r="H25" s="9">
        <v>1</v>
      </c>
      <c r="I25" t="s">
        <v>73</v>
      </c>
    </row>
    <row r="26" spans="1:9" x14ac:dyDescent="0.25">
      <c r="A26" t="s">
        <v>43</v>
      </c>
      <c r="B26" t="s">
        <v>28</v>
      </c>
      <c r="C26" t="s">
        <v>29</v>
      </c>
      <c r="D26" s="7">
        <v>44677</v>
      </c>
      <c r="E26" s="7">
        <v>44677</v>
      </c>
      <c r="F26" s="8">
        <v>0.60416666666666663</v>
      </c>
      <c r="G26" s="8">
        <v>0.625</v>
      </c>
      <c r="H26" s="9">
        <v>0.5</v>
      </c>
      <c r="I26" t="s">
        <v>30</v>
      </c>
    </row>
    <row r="27" spans="1:9" x14ac:dyDescent="0.25">
      <c r="A27" t="s">
        <v>43</v>
      </c>
      <c r="B27" t="s">
        <v>28</v>
      </c>
      <c r="C27" t="s">
        <v>31</v>
      </c>
      <c r="D27" s="7">
        <v>44680</v>
      </c>
      <c r="E27" s="7">
        <v>44680</v>
      </c>
      <c r="F27" s="8">
        <v>0.625</v>
      </c>
      <c r="G27" s="8">
        <v>0.64583333333333337</v>
      </c>
      <c r="H27" s="9">
        <v>0.5</v>
      </c>
      <c r="I27" t="s">
        <v>32</v>
      </c>
    </row>
    <row r="28" spans="1:9" x14ac:dyDescent="0.25">
      <c r="A28" t="s">
        <v>48</v>
      </c>
      <c r="B28" t="s">
        <v>50</v>
      </c>
      <c r="C28" t="s">
        <v>47</v>
      </c>
      <c r="D28" s="7">
        <v>44678</v>
      </c>
      <c r="E28" s="7">
        <v>44678</v>
      </c>
      <c r="F28" s="8">
        <v>0.66666666666666663</v>
      </c>
      <c r="G28" s="8">
        <v>0.6875</v>
      </c>
      <c r="H28" s="9">
        <v>0.5</v>
      </c>
      <c r="I28" t="s">
        <v>35</v>
      </c>
    </row>
    <row r="29" spans="1:9" x14ac:dyDescent="0.25">
      <c r="A29" t="s">
        <v>43</v>
      </c>
      <c r="B29" t="s">
        <v>33</v>
      </c>
      <c r="C29" t="s">
        <v>34</v>
      </c>
      <c r="D29" s="7">
        <v>44673</v>
      </c>
      <c r="E29" s="7">
        <v>44673</v>
      </c>
      <c r="F29" s="8">
        <v>0.54166666666666663</v>
      </c>
      <c r="G29" s="8">
        <v>0.58333333333333337</v>
      </c>
      <c r="H29" s="9">
        <v>1</v>
      </c>
    </row>
    <row r="30" spans="1:9" x14ac:dyDescent="0.25">
      <c r="A30" t="s">
        <v>43</v>
      </c>
      <c r="B30" t="s">
        <v>33</v>
      </c>
      <c r="C30" t="s">
        <v>34</v>
      </c>
      <c r="D30" s="7">
        <v>44676</v>
      </c>
      <c r="E30" s="7">
        <v>44676</v>
      </c>
      <c r="F30" s="8">
        <v>0.54166666666666663</v>
      </c>
      <c r="G30" s="8">
        <v>0.58333333333333337</v>
      </c>
      <c r="H30" s="9">
        <v>1</v>
      </c>
    </row>
    <row r="31" spans="1:9" x14ac:dyDescent="0.25">
      <c r="A31" t="s">
        <v>43</v>
      </c>
      <c r="B31" t="s">
        <v>33</v>
      </c>
      <c r="C31" t="s">
        <v>34</v>
      </c>
      <c r="D31" s="7">
        <v>44677</v>
      </c>
      <c r="E31" s="7">
        <v>44677</v>
      </c>
      <c r="F31" s="8">
        <v>0.54166666666666663</v>
      </c>
      <c r="G31" s="8">
        <v>0.58333333333333337</v>
      </c>
      <c r="H31" s="9">
        <v>1</v>
      </c>
    </row>
    <row r="32" spans="1:9" x14ac:dyDescent="0.25">
      <c r="A32" t="s">
        <v>43</v>
      </c>
      <c r="B32" t="s">
        <v>33</v>
      </c>
      <c r="C32" t="s">
        <v>34</v>
      </c>
      <c r="D32" s="7">
        <v>44678</v>
      </c>
      <c r="E32" s="7">
        <v>44678</v>
      </c>
      <c r="F32" s="8">
        <v>0.54166666666666663</v>
      </c>
      <c r="G32" s="8">
        <v>0.58333333333333337</v>
      </c>
      <c r="H32" s="9">
        <v>1</v>
      </c>
    </row>
    <row r="33" spans="1:8" x14ac:dyDescent="0.25">
      <c r="A33" t="s">
        <v>43</v>
      </c>
      <c r="B33" t="s">
        <v>33</v>
      </c>
      <c r="C33" t="s">
        <v>34</v>
      </c>
      <c r="D33" s="7">
        <v>44679</v>
      </c>
      <c r="E33" s="7">
        <v>44679</v>
      </c>
      <c r="F33" s="8">
        <v>0.54166666666666663</v>
      </c>
      <c r="G33" s="8">
        <v>0.58333333333333337</v>
      </c>
      <c r="H33" s="9">
        <v>1</v>
      </c>
    </row>
    <row r="34" spans="1:8" x14ac:dyDescent="0.25">
      <c r="A34" t="s">
        <v>43</v>
      </c>
      <c r="B34" t="s">
        <v>33</v>
      </c>
      <c r="C34" t="s">
        <v>34</v>
      </c>
      <c r="D34" s="7">
        <v>44680</v>
      </c>
      <c r="E34" s="7">
        <v>44680</v>
      </c>
      <c r="F34" s="8">
        <v>0.54166666666666663</v>
      </c>
      <c r="G34" s="8">
        <v>0.58333333333333337</v>
      </c>
      <c r="H34" s="9">
        <v>1</v>
      </c>
    </row>
    <row r="35" spans="1:8" x14ac:dyDescent="0.25">
      <c r="D35" s="7"/>
      <c r="E35" s="7"/>
      <c r="F35" s="8"/>
      <c r="G35" s="8"/>
      <c r="H35" s="9"/>
    </row>
    <row r="36" spans="1:8" x14ac:dyDescent="0.25">
      <c r="D36" s="7"/>
      <c r="E36" s="7"/>
      <c r="F36" s="8"/>
      <c r="G36" s="8"/>
      <c r="H36" s="9"/>
    </row>
    <row r="37" spans="1:8" x14ac:dyDescent="0.25">
      <c r="D37" s="7"/>
      <c r="E37" s="7"/>
      <c r="F37" s="8"/>
      <c r="G37" s="8"/>
      <c r="H37" s="9"/>
    </row>
    <row r="38" spans="1:8" x14ac:dyDescent="0.25">
      <c r="D38" s="7"/>
      <c r="E38" s="7"/>
      <c r="F38" s="8"/>
      <c r="G38" s="8"/>
      <c r="H38" s="9"/>
    </row>
    <row r="39" spans="1:8" x14ac:dyDescent="0.25">
      <c r="D39" s="7"/>
      <c r="E39" s="7"/>
      <c r="F39" s="8"/>
      <c r="G39" s="8"/>
      <c r="H39" s="9"/>
    </row>
    <row r="40" spans="1:8" x14ac:dyDescent="0.25">
      <c r="D40" s="7"/>
      <c r="E40" s="7"/>
      <c r="F40" s="8"/>
      <c r="G40" s="8"/>
      <c r="H40" s="9"/>
    </row>
    <row r="41" spans="1:8" x14ac:dyDescent="0.25">
      <c r="D41" s="7"/>
      <c r="E41" s="7"/>
      <c r="F41" s="8"/>
      <c r="G41" s="8"/>
      <c r="H41" s="9"/>
    </row>
    <row r="42" spans="1:8" x14ac:dyDescent="0.25">
      <c r="D42" s="7"/>
      <c r="E42" s="7"/>
      <c r="F42" s="8"/>
      <c r="G42" s="8"/>
      <c r="H42" s="9"/>
    </row>
    <row r="43" spans="1:8" x14ac:dyDescent="0.25">
      <c r="D43" s="7"/>
      <c r="E43" s="7"/>
      <c r="F43" s="8"/>
      <c r="G43" s="8"/>
      <c r="H43" s="9"/>
    </row>
    <row r="44" spans="1:8" x14ac:dyDescent="0.25">
      <c r="D44" s="7"/>
      <c r="E44" s="7"/>
      <c r="F44" s="8"/>
      <c r="G44" s="8"/>
      <c r="H44" s="9"/>
    </row>
    <row r="45" spans="1:8" x14ac:dyDescent="0.25">
      <c r="D45" s="7"/>
      <c r="E45" s="7"/>
      <c r="F45" s="8"/>
      <c r="G45" s="8"/>
      <c r="H45" s="9"/>
    </row>
    <row r="46" spans="1:8" x14ac:dyDescent="0.25">
      <c r="D46" s="7"/>
      <c r="E46" s="7"/>
      <c r="F46" s="8"/>
      <c r="G46" s="8"/>
      <c r="H46" s="9"/>
    </row>
    <row r="47" spans="1:8" x14ac:dyDescent="0.25">
      <c r="D47" s="7"/>
      <c r="E47" s="7"/>
      <c r="F47" s="8"/>
      <c r="G47" s="8"/>
      <c r="H47" s="9"/>
    </row>
    <row r="48" spans="1:8" x14ac:dyDescent="0.25">
      <c r="D48" s="7"/>
      <c r="E48" s="7"/>
      <c r="F48" s="8"/>
      <c r="G48" s="8"/>
      <c r="H48" s="9"/>
    </row>
    <row r="49" spans="4:8" x14ac:dyDescent="0.25">
      <c r="D49" s="7"/>
      <c r="E49" s="7"/>
      <c r="F49" s="8"/>
      <c r="G49" s="8"/>
      <c r="H49" s="9"/>
    </row>
    <row r="50" spans="4:8" x14ac:dyDescent="0.25">
      <c r="D50" s="7"/>
      <c r="E50" s="7"/>
      <c r="F50" s="8"/>
      <c r="G50" s="8"/>
      <c r="H50" s="9"/>
    </row>
    <row r="51" spans="4:8" x14ac:dyDescent="0.25">
      <c r="D51" s="7"/>
      <c r="E51" s="7"/>
      <c r="F51" s="8"/>
      <c r="G51" s="8"/>
      <c r="H51" s="9"/>
    </row>
    <row r="52" spans="4:8" x14ac:dyDescent="0.25">
      <c r="D52" s="7"/>
      <c r="E52" s="7"/>
      <c r="F52" s="8"/>
      <c r="G52" s="8"/>
      <c r="H52" s="9"/>
    </row>
    <row r="53" spans="4:8" x14ac:dyDescent="0.25">
      <c r="D53" s="7"/>
      <c r="E53" s="7"/>
      <c r="F53" s="8"/>
      <c r="G53" s="8"/>
      <c r="H53" s="9"/>
    </row>
    <row r="54" spans="4:8" x14ac:dyDescent="0.25">
      <c r="D54" s="7"/>
      <c r="E54" s="7"/>
      <c r="F54" s="8"/>
      <c r="G54" s="8"/>
      <c r="H54" s="9"/>
    </row>
    <row r="55" spans="4:8" x14ac:dyDescent="0.25">
      <c r="D55" s="7"/>
      <c r="E55" s="7"/>
      <c r="F55" s="8"/>
      <c r="G55" s="8"/>
      <c r="H55" s="9"/>
    </row>
    <row r="56" spans="4:8" x14ac:dyDescent="0.25">
      <c r="D56" s="7"/>
      <c r="E56" s="7"/>
      <c r="F56" s="8"/>
      <c r="G56" s="8"/>
      <c r="H56" s="9"/>
    </row>
    <row r="57" spans="4:8" x14ac:dyDescent="0.25">
      <c r="D57" s="7"/>
      <c r="E57" s="7"/>
      <c r="F57" s="8"/>
      <c r="G57" s="8"/>
      <c r="H57" s="9"/>
    </row>
    <row r="58" spans="4:8" x14ac:dyDescent="0.25">
      <c r="D58" s="7"/>
      <c r="E58" s="7"/>
      <c r="F58" s="8"/>
      <c r="G58" s="8"/>
      <c r="H58" s="9"/>
    </row>
    <row r="59" spans="4:8" x14ac:dyDescent="0.25">
      <c r="D59" s="7"/>
      <c r="E59" s="7"/>
      <c r="F59" s="8"/>
      <c r="G59" s="8"/>
      <c r="H59" s="9"/>
    </row>
    <row r="60" spans="4:8" x14ac:dyDescent="0.25">
      <c r="D60" s="7"/>
      <c r="E60" s="7"/>
      <c r="F60" s="8"/>
      <c r="G60" s="8"/>
      <c r="H60" s="9"/>
    </row>
    <row r="61" spans="4:8" x14ac:dyDescent="0.25">
      <c r="D61" s="7"/>
      <c r="E61" s="7"/>
      <c r="F61" s="8"/>
      <c r="G61" s="8"/>
      <c r="H61" s="9"/>
    </row>
    <row r="62" spans="4:8" x14ac:dyDescent="0.25">
      <c r="D62" s="7"/>
      <c r="E62" s="7"/>
      <c r="F62" s="8"/>
      <c r="G62" s="8"/>
      <c r="H62" s="9"/>
    </row>
    <row r="63" spans="4:8" x14ac:dyDescent="0.25">
      <c r="D63" s="7"/>
      <c r="E63" s="7"/>
      <c r="F63" s="8"/>
      <c r="G63" s="8"/>
      <c r="H63" s="9"/>
    </row>
    <row r="64" spans="4:8" x14ac:dyDescent="0.25">
      <c r="D64" s="7"/>
      <c r="E64" s="7"/>
      <c r="F64" s="8"/>
      <c r="G64" s="8"/>
      <c r="H64" s="9"/>
    </row>
    <row r="65" spans="4:8" x14ac:dyDescent="0.25">
      <c r="D65" s="7"/>
      <c r="E65" s="7"/>
      <c r="F65" s="8"/>
      <c r="G65" s="8"/>
      <c r="H65" s="9"/>
    </row>
    <row r="66" spans="4:8" x14ac:dyDescent="0.25">
      <c r="D66" s="7"/>
      <c r="E66" s="7"/>
      <c r="F66" s="8"/>
      <c r="G66" s="8"/>
      <c r="H66" s="9"/>
    </row>
    <row r="67" spans="4:8" x14ac:dyDescent="0.25">
      <c r="D67" s="7"/>
      <c r="E67" s="7"/>
      <c r="F67" s="8"/>
      <c r="G67" s="8"/>
      <c r="H67" s="9"/>
    </row>
    <row r="68" spans="4:8" x14ac:dyDescent="0.25">
      <c r="D68" s="7"/>
      <c r="E68" s="7"/>
      <c r="F68" s="8"/>
      <c r="G68" s="8"/>
      <c r="H68" s="9"/>
    </row>
    <row r="69" spans="4:8" x14ac:dyDescent="0.25">
      <c r="D69" s="7"/>
      <c r="E69" s="7"/>
      <c r="F69" s="8"/>
      <c r="G69" s="8"/>
      <c r="H69" s="9"/>
    </row>
    <row r="70" spans="4:8" x14ac:dyDescent="0.25">
      <c r="D70" s="7"/>
      <c r="E70" s="7"/>
      <c r="F70" s="8"/>
      <c r="G70" s="8"/>
      <c r="H70" s="9"/>
    </row>
    <row r="71" spans="4:8" x14ac:dyDescent="0.25">
      <c r="D71" s="7"/>
      <c r="E71" s="7"/>
      <c r="F71" s="8"/>
      <c r="G71" s="8"/>
      <c r="H71" s="9"/>
    </row>
    <row r="72" spans="4:8" x14ac:dyDescent="0.25">
      <c r="D72" s="7"/>
      <c r="E72" s="7"/>
      <c r="F72" s="8"/>
      <c r="G72" s="8"/>
      <c r="H72" s="9"/>
    </row>
    <row r="73" spans="4:8" x14ac:dyDescent="0.25">
      <c r="D73" s="7"/>
      <c r="E73" s="7"/>
      <c r="F73" s="8"/>
      <c r="G73" s="8"/>
      <c r="H73" s="9"/>
    </row>
    <row r="74" spans="4:8" x14ac:dyDescent="0.25">
      <c r="D74" s="7"/>
      <c r="E74" s="7"/>
      <c r="F74" s="8"/>
      <c r="G74" s="8"/>
      <c r="H74" s="9"/>
    </row>
    <row r="75" spans="4:8" x14ac:dyDescent="0.25">
      <c r="D75" s="7"/>
      <c r="E75" s="7"/>
      <c r="F75" s="8"/>
      <c r="G75" s="8"/>
      <c r="H75" s="9"/>
    </row>
    <row r="76" spans="4:8" x14ac:dyDescent="0.25">
      <c r="D76" s="7"/>
      <c r="E76" s="7"/>
      <c r="F76" s="8"/>
      <c r="G76" s="8"/>
      <c r="H76" s="9"/>
    </row>
    <row r="77" spans="4:8" x14ac:dyDescent="0.25">
      <c r="D77" s="7"/>
      <c r="E77" s="7"/>
      <c r="F77" s="8"/>
      <c r="G77" s="8"/>
      <c r="H77" s="9"/>
    </row>
    <row r="78" spans="4:8" x14ac:dyDescent="0.25">
      <c r="D78" s="7"/>
      <c r="E78" s="7"/>
      <c r="F78" s="8"/>
      <c r="G78" s="8"/>
      <c r="H78" s="9"/>
    </row>
    <row r="79" spans="4:8" x14ac:dyDescent="0.25">
      <c r="D79" s="7"/>
      <c r="E79" s="7"/>
      <c r="F79" s="8"/>
      <c r="G79" s="8"/>
      <c r="H79" s="9"/>
    </row>
    <row r="80" spans="4:8" x14ac:dyDescent="0.25">
      <c r="D80" s="7"/>
      <c r="E80" s="7"/>
      <c r="F80" s="8"/>
      <c r="G80" s="8"/>
      <c r="H80" s="9"/>
    </row>
    <row r="81" spans="4:8" x14ac:dyDescent="0.25">
      <c r="D81" s="7"/>
      <c r="E81" s="7"/>
      <c r="F81" s="8"/>
      <c r="G81" s="8"/>
      <c r="H81" s="9"/>
    </row>
    <row r="82" spans="4:8" x14ac:dyDescent="0.25">
      <c r="D82" s="7"/>
      <c r="E82" s="7"/>
      <c r="F82" s="8"/>
      <c r="G82" s="8"/>
      <c r="H82" s="9"/>
    </row>
    <row r="83" spans="4:8" x14ac:dyDescent="0.25">
      <c r="D83" s="7"/>
      <c r="E83" s="7"/>
      <c r="F83" s="8"/>
      <c r="G83" s="8"/>
      <c r="H83" s="9"/>
    </row>
    <row r="84" spans="4:8" x14ac:dyDescent="0.25">
      <c r="D84" s="7"/>
      <c r="E84" s="7"/>
      <c r="F84" s="8"/>
      <c r="G84" s="8"/>
      <c r="H84" s="9"/>
    </row>
    <row r="85" spans="4:8" x14ac:dyDescent="0.25">
      <c r="D85" s="7"/>
      <c r="E85" s="7"/>
      <c r="F85" s="8"/>
      <c r="G85" s="8"/>
      <c r="H85" s="9"/>
    </row>
    <row r="86" spans="4:8" x14ac:dyDescent="0.25">
      <c r="D86" s="7"/>
      <c r="E86" s="7"/>
      <c r="F86" s="8"/>
      <c r="G86" s="8"/>
      <c r="H86" s="9"/>
    </row>
    <row r="87" spans="4:8" x14ac:dyDescent="0.25">
      <c r="D87" s="7"/>
      <c r="E87" s="7"/>
      <c r="F87" s="8"/>
      <c r="G87" s="8"/>
      <c r="H87" s="9"/>
    </row>
    <row r="88" spans="4:8" x14ac:dyDescent="0.25">
      <c r="D88" s="7"/>
      <c r="E88" s="7"/>
      <c r="F88" s="8"/>
      <c r="G88" s="8"/>
      <c r="H88" s="9"/>
    </row>
    <row r="89" spans="4:8" x14ac:dyDescent="0.25">
      <c r="D89" s="7"/>
      <c r="E89" s="7"/>
      <c r="F89" s="8"/>
      <c r="G89" s="8"/>
      <c r="H89" s="9"/>
    </row>
    <row r="90" spans="4:8" x14ac:dyDescent="0.25">
      <c r="D90" s="7"/>
      <c r="E90" s="7"/>
      <c r="F90" s="8"/>
      <c r="G90" s="8"/>
      <c r="H90" s="9"/>
    </row>
    <row r="91" spans="4:8" x14ac:dyDescent="0.25">
      <c r="D91" s="7"/>
      <c r="E91" s="7"/>
      <c r="F91" s="8"/>
      <c r="G91" s="8"/>
      <c r="H91" s="9"/>
    </row>
    <row r="92" spans="4:8" x14ac:dyDescent="0.25">
      <c r="D92" s="7"/>
      <c r="E92" s="7"/>
      <c r="F92" s="8"/>
      <c r="G92" s="8"/>
      <c r="H92" s="9"/>
    </row>
    <row r="93" spans="4:8" x14ac:dyDescent="0.25">
      <c r="D93" s="7"/>
      <c r="E93" s="7"/>
      <c r="F93" s="8"/>
      <c r="G93" s="8"/>
      <c r="H93" s="9"/>
    </row>
    <row r="94" spans="4:8" x14ac:dyDescent="0.25">
      <c r="D94" s="7"/>
      <c r="E94" s="7"/>
      <c r="F94" s="8"/>
      <c r="G94" s="8"/>
      <c r="H94" s="9"/>
    </row>
    <row r="95" spans="4:8" x14ac:dyDescent="0.25">
      <c r="D95" s="7"/>
      <c r="E95" s="7"/>
      <c r="F95" s="8"/>
      <c r="G95" s="8"/>
      <c r="H95" s="9"/>
    </row>
    <row r="96" spans="4:8" x14ac:dyDescent="0.25">
      <c r="D96" s="7"/>
      <c r="E96" s="7"/>
      <c r="F96" s="8"/>
      <c r="G96" s="8"/>
      <c r="H96" s="9"/>
    </row>
    <row r="97" spans="4:8" x14ac:dyDescent="0.25">
      <c r="D97" s="7"/>
      <c r="E97" s="7"/>
      <c r="F97" s="8"/>
      <c r="G97" s="8"/>
      <c r="H97" s="9"/>
    </row>
    <row r="98" spans="4:8" x14ac:dyDescent="0.25">
      <c r="D98" s="7"/>
      <c r="E98" s="7"/>
      <c r="F98" s="8"/>
      <c r="G98" s="8"/>
      <c r="H98" s="9"/>
    </row>
    <row r="99" spans="4:8" x14ac:dyDescent="0.25">
      <c r="D99" s="7"/>
      <c r="E99" s="7"/>
      <c r="F99" s="8"/>
      <c r="G99" s="8"/>
      <c r="H99" s="9"/>
    </row>
    <row r="100" spans="4:8" x14ac:dyDescent="0.25">
      <c r="D100" s="7"/>
      <c r="E100" s="7"/>
      <c r="F100" s="8"/>
      <c r="G100" s="8"/>
      <c r="H100" s="9"/>
    </row>
    <row r="101" spans="4:8" x14ac:dyDescent="0.25">
      <c r="D101" s="7"/>
      <c r="E101" s="7"/>
      <c r="F101" s="8"/>
      <c r="G101" s="8"/>
      <c r="H101" s="9"/>
    </row>
    <row r="102" spans="4:8" x14ac:dyDescent="0.25">
      <c r="D102" s="7"/>
      <c r="E102" s="7"/>
      <c r="F102" s="8"/>
      <c r="G102" s="8"/>
      <c r="H102" s="9"/>
    </row>
    <row r="103" spans="4:8" x14ac:dyDescent="0.25">
      <c r="D103" s="7"/>
      <c r="E103" s="7"/>
      <c r="F103" s="8"/>
      <c r="G103" s="8"/>
      <c r="H103" s="9"/>
    </row>
    <row r="104" spans="4:8" x14ac:dyDescent="0.25">
      <c r="D104" s="7"/>
      <c r="E104" s="7"/>
      <c r="F104" s="8"/>
      <c r="G104" s="8"/>
      <c r="H104" s="9"/>
    </row>
    <row r="105" spans="4:8" x14ac:dyDescent="0.25">
      <c r="D105" s="7"/>
      <c r="E105" s="7"/>
      <c r="F105" s="8"/>
      <c r="G105" s="8"/>
      <c r="H105" s="9"/>
    </row>
    <row r="106" spans="4:8" x14ac:dyDescent="0.25">
      <c r="D106" s="7"/>
      <c r="E106" s="7"/>
      <c r="F106" s="8"/>
      <c r="G106" s="8"/>
      <c r="H106" s="9"/>
    </row>
    <row r="107" spans="4:8" x14ac:dyDescent="0.25">
      <c r="D107" s="7"/>
      <c r="E107" s="7"/>
      <c r="F107" s="8"/>
      <c r="G107" s="8"/>
      <c r="H107" s="9"/>
    </row>
    <row r="108" spans="4:8" x14ac:dyDescent="0.25">
      <c r="D108" s="7"/>
      <c r="E108" s="7"/>
      <c r="F108" s="8"/>
      <c r="G108" s="8"/>
      <c r="H108" s="9"/>
    </row>
    <row r="109" spans="4:8" x14ac:dyDescent="0.25">
      <c r="D109" s="7"/>
      <c r="E109" s="7"/>
      <c r="F109" s="8"/>
      <c r="G109" s="8"/>
      <c r="H109" s="9"/>
    </row>
    <row r="110" spans="4:8" x14ac:dyDescent="0.25">
      <c r="D110" s="7"/>
      <c r="E110" s="7"/>
      <c r="F110" s="8"/>
      <c r="G110" s="8"/>
      <c r="H110" s="9"/>
    </row>
    <row r="111" spans="4:8" x14ac:dyDescent="0.25">
      <c r="G111" s="8">
        <f>SUM(G2:G110)</f>
        <v>18.336805555555554</v>
      </c>
    </row>
  </sheetData>
  <sortState xmlns:xlrd2="http://schemas.microsoft.com/office/spreadsheetml/2017/richdata2" ref="A2:I110">
    <sortCondition ref="B2"/>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F3056-C599-4379-A1EC-8C9FAED984EF}">
  <sheetPr codeName="Sheet7"/>
  <dimension ref="A3:I14"/>
  <sheetViews>
    <sheetView workbookViewId="0">
      <selection activeCell="B5" sqref="B5"/>
    </sheetView>
  </sheetViews>
  <sheetFormatPr defaultRowHeight="15" x14ac:dyDescent="0.25"/>
  <cols>
    <col min="1" max="1" width="15.7109375" bestFit="1" customWidth="1"/>
    <col min="2" max="2" width="16.28515625" bestFit="1" customWidth="1"/>
    <col min="3" max="4" width="9.7109375" bestFit="1" customWidth="1"/>
    <col min="5" max="5" width="8.7109375" bestFit="1" customWidth="1"/>
    <col min="6" max="7" width="9.7109375" bestFit="1" customWidth="1"/>
    <col min="8" max="8" width="8.7109375" bestFit="1" customWidth="1"/>
    <col min="9" max="9" width="11.28515625" bestFit="1" customWidth="1"/>
    <col min="10" max="12" width="9.7109375" bestFit="1" customWidth="1"/>
    <col min="13" max="13" width="8.7109375" bestFit="1" customWidth="1"/>
    <col min="14" max="14" width="11.28515625" bestFit="1" customWidth="1"/>
    <col min="15" max="21" width="6.85546875" bestFit="1" customWidth="1"/>
    <col min="22" max="22" width="9" bestFit="1" customWidth="1"/>
    <col min="23" max="23" width="11.28515625" bestFit="1" customWidth="1"/>
    <col min="24" max="28" width="7.28515625" bestFit="1" customWidth="1"/>
    <col min="29" max="29" width="9.42578125" bestFit="1" customWidth="1"/>
    <col min="30" max="30" width="6" bestFit="1" customWidth="1"/>
    <col min="31" max="35" width="5.85546875" bestFit="1" customWidth="1"/>
    <col min="36" max="46" width="6.85546875" bestFit="1" customWidth="1"/>
    <col min="47" max="47" width="9" bestFit="1" customWidth="1"/>
    <col min="48" max="48" width="11.28515625" bestFit="1" customWidth="1"/>
  </cols>
  <sheetData>
    <row r="3" spans="1:9" x14ac:dyDescent="0.25">
      <c r="A3" s="4" t="s">
        <v>19</v>
      </c>
      <c r="B3" s="4" t="s">
        <v>56</v>
      </c>
    </row>
    <row r="4" spans="1:9" x14ac:dyDescent="0.25">
      <c r="A4" s="4" t="s">
        <v>17</v>
      </c>
      <c r="B4" s="7">
        <v>44678</v>
      </c>
      <c r="C4" s="7">
        <v>44680</v>
      </c>
      <c r="D4" s="7">
        <v>44676</v>
      </c>
      <c r="E4" s="7">
        <v>44686</v>
      </c>
      <c r="F4" s="7">
        <v>44677</v>
      </c>
      <c r="G4" s="7">
        <v>44679</v>
      </c>
      <c r="H4" s="7">
        <v>44683</v>
      </c>
      <c r="I4" t="s">
        <v>18</v>
      </c>
    </row>
    <row r="5" spans="1:9" x14ac:dyDescent="0.25">
      <c r="A5" s="5" t="s">
        <v>44</v>
      </c>
      <c r="B5" s="6">
        <v>1</v>
      </c>
      <c r="C5" s="6"/>
      <c r="D5" s="6">
        <v>1</v>
      </c>
      <c r="E5" s="6"/>
      <c r="F5" s="6">
        <v>1</v>
      </c>
      <c r="G5" s="6">
        <v>2</v>
      </c>
      <c r="H5" s="6">
        <v>1</v>
      </c>
      <c r="I5" s="6">
        <v>6</v>
      </c>
    </row>
    <row r="6" spans="1:9" x14ac:dyDescent="0.25">
      <c r="A6" s="5" t="s">
        <v>46</v>
      </c>
      <c r="B6" s="6"/>
      <c r="C6" s="6"/>
      <c r="D6" s="6">
        <v>3</v>
      </c>
      <c r="E6" s="6"/>
      <c r="F6" s="6"/>
      <c r="G6" s="6">
        <v>1</v>
      </c>
      <c r="H6" s="6"/>
      <c r="I6" s="6">
        <v>4</v>
      </c>
    </row>
    <row r="7" spans="1:9" x14ac:dyDescent="0.25">
      <c r="A7" s="5" t="s">
        <v>52</v>
      </c>
      <c r="B7" s="6"/>
      <c r="C7" s="6"/>
      <c r="D7" s="6">
        <v>1</v>
      </c>
      <c r="E7" s="6"/>
      <c r="F7" s="6">
        <v>1</v>
      </c>
      <c r="G7" s="6"/>
      <c r="H7" s="6"/>
      <c r="I7" s="6">
        <v>2</v>
      </c>
    </row>
    <row r="8" spans="1:9" x14ac:dyDescent="0.25">
      <c r="A8" s="5" t="s">
        <v>53</v>
      </c>
      <c r="B8" s="6">
        <v>2</v>
      </c>
      <c r="C8" s="6"/>
      <c r="D8" s="6">
        <v>2</v>
      </c>
      <c r="E8" s="6"/>
      <c r="F8" s="6"/>
      <c r="G8" s="6">
        <v>1</v>
      </c>
      <c r="H8" s="6"/>
      <c r="I8" s="6">
        <v>5</v>
      </c>
    </row>
    <row r="9" spans="1:9" x14ac:dyDescent="0.25">
      <c r="A9" s="5" t="s">
        <v>72</v>
      </c>
      <c r="B9" s="6"/>
      <c r="C9" s="6"/>
      <c r="D9" s="6">
        <v>3</v>
      </c>
      <c r="E9" s="6"/>
      <c r="F9" s="6"/>
      <c r="G9" s="6"/>
      <c r="H9" s="6">
        <v>1</v>
      </c>
      <c r="I9" s="6">
        <v>4</v>
      </c>
    </row>
    <row r="10" spans="1:9" x14ac:dyDescent="0.25">
      <c r="A10" s="5" t="s">
        <v>43</v>
      </c>
      <c r="B10" s="6">
        <v>1</v>
      </c>
      <c r="C10" s="6">
        <v>2</v>
      </c>
      <c r="D10" s="6">
        <v>2</v>
      </c>
      <c r="E10" s="6">
        <v>1</v>
      </c>
      <c r="F10" s="6">
        <v>2</v>
      </c>
      <c r="G10" s="6">
        <v>1</v>
      </c>
      <c r="H10" s="6"/>
      <c r="I10" s="6">
        <v>9</v>
      </c>
    </row>
    <row r="11" spans="1:9" x14ac:dyDescent="0.25">
      <c r="A11" s="5" t="s">
        <v>128</v>
      </c>
      <c r="B11" s="6">
        <v>1</v>
      </c>
      <c r="C11" s="6">
        <v>2</v>
      </c>
      <c r="D11" s="6">
        <v>3</v>
      </c>
      <c r="E11" s="6"/>
      <c r="F11" s="6"/>
      <c r="G11" s="6">
        <v>1</v>
      </c>
      <c r="H11" s="6"/>
      <c r="I11" s="6">
        <v>7</v>
      </c>
    </row>
    <row r="12" spans="1:9" x14ac:dyDescent="0.25">
      <c r="A12" s="5" t="s">
        <v>285</v>
      </c>
      <c r="B12" s="6">
        <v>2</v>
      </c>
      <c r="C12" s="6"/>
      <c r="D12" s="6"/>
      <c r="E12" s="6"/>
      <c r="F12" s="6"/>
      <c r="G12" s="6"/>
      <c r="H12" s="6"/>
      <c r="I12" s="6">
        <v>2</v>
      </c>
    </row>
    <row r="13" spans="1:9" x14ac:dyDescent="0.25">
      <c r="A13" s="5" t="s">
        <v>55</v>
      </c>
      <c r="B13" s="6"/>
      <c r="C13" s="6">
        <v>1</v>
      </c>
      <c r="D13" s="6"/>
      <c r="E13" s="6"/>
      <c r="F13" s="6"/>
      <c r="G13" s="6"/>
      <c r="H13" s="6"/>
      <c r="I13" s="6">
        <v>1</v>
      </c>
    </row>
    <row r="14" spans="1:9" x14ac:dyDescent="0.25">
      <c r="A14" s="5" t="s">
        <v>18</v>
      </c>
      <c r="B14" s="6">
        <v>7</v>
      </c>
      <c r="C14" s="6">
        <v>5</v>
      </c>
      <c r="D14" s="6">
        <v>15</v>
      </c>
      <c r="E14" s="6">
        <v>1</v>
      </c>
      <c r="F14" s="6">
        <v>4</v>
      </c>
      <c r="G14" s="6">
        <v>6</v>
      </c>
      <c r="H14" s="6">
        <v>2</v>
      </c>
      <c r="I14" s="6">
        <v>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5C846-7774-4EB1-8BAF-B7BCFC7D35CA}">
  <sheetPr codeName="Sheet4"/>
  <dimension ref="A1:J178"/>
  <sheetViews>
    <sheetView workbookViewId="0">
      <selection activeCell="J2" sqref="J2"/>
    </sheetView>
  </sheetViews>
  <sheetFormatPr defaultRowHeight="15" x14ac:dyDescent="0.25"/>
  <cols>
    <col min="1" max="1" width="9.5703125" bestFit="1" customWidth="1"/>
    <col min="2" max="2" width="17" bestFit="1" customWidth="1"/>
    <col min="3" max="3" width="126.7109375" bestFit="1" customWidth="1"/>
    <col min="4" max="4" width="14.7109375" bestFit="1" customWidth="1"/>
    <col min="5" max="5" width="13.85546875" bestFit="1" customWidth="1"/>
    <col min="6" max="6" width="12.28515625" bestFit="1" customWidth="1"/>
    <col min="7" max="7" width="11.42578125" bestFit="1" customWidth="1"/>
    <col min="8" max="8" width="11.5703125" bestFit="1" customWidth="1"/>
    <col min="9" max="9" width="12.42578125" customWidth="1"/>
  </cols>
  <sheetData>
    <row r="1" spans="1:10" x14ac:dyDescent="0.25">
      <c r="A1" t="s">
        <v>42</v>
      </c>
      <c r="B1" t="s">
        <v>20</v>
      </c>
      <c r="C1" t="s">
        <v>14</v>
      </c>
      <c r="D1" t="s">
        <v>21</v>
      </c>
      <c r="E1" t="s">
        <v>22</v>
      </c>
      <c r="F1" t="s">
        <v>23</v>
      </c>
      <c r="G1" t="s">
        <v>24</v>
      </c>
      <c r="H1" t="s">
        <v>25</v>
      </c>
      <c r="I1" t="s">
        <v>26</v>
      </c>
      <c r="J1" t="s">
        <v>256</v>
      </c>
    </row>
    <row r="2" spans="1:10" x14ac:dyDescent="0.25">
      <c r="A2" t="s">
        <v>43</v>
      </c>
      <c r="B2" t="s">
        <v>141</v>
      </c>
      <c r="C2" t="s">
        <v>142</v>
      </c>
      <c r="D2" s="7">
        <v>44621</v>
      </c>
      <c r="E2" s="7">
        <v>44624</v>
      </c>
      <c r="F2" s="8">
        <v>0</v>
      </c>
      <c r="G2" s="8">
        <v>0</v>
      </c>
      <c r="H2" s="9">
        <v>72</v>
      </c>
      <c r="I2" t="s">
        <v>67</v>
      </c>
    </row>
    <row r="3" spans="1:10" x14ac:dyDescent="0.25">
      <c r="A3" t="s">
        <v>43</v>
      </c>
      <c r="B3" t="s">
        <v>280</v>
      </c>
      <c r="C3" t="s">
        <v>281</v>
      </c>
      <c r="D3" s="7">
        <v>44678</v>
      </c>
      <c r="E3" s="7">
        <v>949998</v>
      </c>
      <c r="F3" s="8">
        <v>0</v>
      </c>
      <c r="G3" s="8">
        <v>0</v>
      </c>
      <c r="H3" s="9">
        <v>21727680</v>
      </c>
      <c r="I3" t="s">
        <v>67</v>
      </c>
    </row>
    <row r="4" spans="1:10" x14ac:dyDescent="0.25">
      <c r="A4" t="s">
        <v>43</v>
      </c>
      <c r="B4" t="s">
        <v>27</v>
      </c>
      <c r="C4" t="s">
        <v>139</v>
      </c>
      <c r="D4" s="7">
        <v>44620</v>
      </c>
      <c r="E4" s="7">
        <v>44620</v>
      </c>
      <c r="F4" s="8">
        <v>0</v>
      </c>
      <c r="G4" s="8">
        <v>0</v>
      </c>
      <c r="H4" s="9">
        <v>0</v>
      </c>
      <c r="I4" t="s">
        <v>67</v>
      </c>
    </row>
    <row r="5" spans="1:10" x14ac:dyDescent="0.25">
      <c r="A5" t="s">
        <v>43</v>
      </c>
      <c r="B5" t="s">
        <v>27</v>
      </c>
      <c r="C5" t="s">
        <v>159</v>
      </c>
      <c r="D5" s="7">
        <v>44636</v>
      </c>
      <c r="E5" s="7">
        <v>44637</v>
      </c>
      <c r="F5" s="8">
        <v>0</v>
      </c>
      <c r="G5" s="8">
        <v>0</v>
      </c>
      <c r="H5" s="9">
        <v>24</v>
      </c>
      <c r="I5" t="s">
        <v>67</v>
      </c>
    </row>
    <row r="6" spans="1:10" x14ac:dyDescent="0.25">
      <c r="A6" t="s">
        <v>43</v>
      </c>
      <c r="B6" t="s">
        <v>28</v>
      </c>
      <c r="C6" t="s">
        <v>136</v>
      </c>
      <c r="D6" s="7">
        <v>44616</v>
      </c>
      <c r="E6" s="7">
        <v>44616</v>
      </c>
      <c r="F6" s="8">
        <v>0</v>
      </c>
      <c r="G6" s="8">
        <v>0</v>
      </c>
      <c r="H6" s="9">
        <v>0</v>
      </c>
      <c r="I6" t="s">
        <v>67</v>
      </c>
    </row>
    <row r="7" spans="1:10" x14ac:dyDescent="0.25">
      <c r="A7" t="s">
        <v>43</v>
      </c>
      <c r="B7" t="s">
        <v>28</v>
      </c>
      <c r="C7" t="s">
        <v>137</v>
      </c>
      <c r="D7" s="7">
        <v>44616</v>
      </c>
      <c r="E7" s="7">
        <v>44670</v>
      </c>
      <c r="F7" s="8">
        <v>0</v>
      </c>
      <c r="G7" s="8">
        <v>0</v>
      </c>
      <c r="H7" s="9">
        <v>1296</v>
      </c>
      <c r="I7" t="s">
        <v>67</v>
      </c>
    </row>
    <row r="8" spans="1:10" x14ac:dyDescent="0.25">
      <c r="A8" t="s">
        <v>43</v>
      </c>
      <c r="B8" t="s">
        <v>28</v>
      </c>
      <c r="C8" t="s">
        <v>135</v>
      </c>
      <c r="D8" s="7">
        <v>44680</v>
      </c>
      <c r="E8" s="7">
        <v>949998</v>
      </c>
      <c r="F8" s="8">
        <v>0</v>
      </c>
      <c r="G8" s="8">
        <v>0</v>
      </c>
      <c r="H8" s="9">
        <v>21727632</v>
      </c>
      <c r="I8" t="s">
        <v>67</v>
      </c>
    </row>
    <row r="9" spans="1:10" x14ac:dyDescent="0.25">
      <c r="A9" t="s">
        <v>43</v>
      </c>
      <c r="B9" t="s">
        <v>28</v>
      </c>
      <c r="C9" t="s">
        <v>135</v>
      </c>
      <c r="D9" s="7">
        <v>44631</v>
      </c>
      <c r="E9" s="7">
        <v>44631</v>
      </c>
      <c r="F9" s="8">
        <v>0</v>
      </c>
      <c r="G9" s="8">
        <v>0</v>
      </c>
      <c r="H9" s="9">
        <v>0</v>
      </c>
      <c r="I9" t="s">
        <v>67</v>
      </c>
    </row>
    <row r="10" spans="1:10" x14ac:dyDescent="0.25">
      <c r="A10" t="s">
        <v>43</v>
      </c>
      <c r="B10" t="s">
        <v>28</v>
      </c>
      <c r="C10" t="s">
        <v>135</v>
      </c>
      <c r="D10" s="7">
        <v>44638</v>
      </c>
      <c r="E10" s="7">
        <v>44641</v>
      </c>
      <c r="F10" s="8">
        <v>0</v>
      </c>
      <c r="G10" s="8">
        <v>0</v>
      </c>
      <c r="H10" s="9">
        <v>72</v>
      </c>
      <c r="I10" t="s">
        <v>67</v>
      </c>
    </row>
    <row r="11" spans="1:10" x14ac:dyDescent="0.25">
      <c r="A11" t="s">
        <v>43</v>
      </c>
      <c r="B11" t="s">
        <v>28</v>
      </c>
      <c r="C11" t="s">
        <v>135</v>
      </c>
      <c r="D11" s="7">
        <v>44645</v>
      </c>
      <c r="E11" s="7">
        <v>44648</v>
      </c>
      <c r="F11" s="8">
        <v>0</v>
      </c>
      <c r="G11" s="8">
        <v>0</v>
      </c>
      <c r="H11" s="9">
        <v>72</v>
      </c>
      <c r="I11" t="s">
        <v>67</v>
      </c>
    </row>
    <row r="12" spans="1:10" x14ac:dyDescent="0.25">
      <c r="A12" t="s">
        <v>43</v>
      </c>
      <c r="B12" t="s">
        <v>28</v>
      </c>
      <c r="C12" t="s">
        <v>135</v>
      </c>
      <c r="D12" s="7">
        <v>44652</v>
      </c>
      <c r="E12" s="7">
        <v>44655</v>
      </c>
      <c r="F12" s="8">
        <v>0</v>
      </c>
      <c r="G12" s="8">
        <v>0</v>
      </c>
      <c r="H12" s="9">
        <v>72</v>
      </c>
      <c r="I12" t="s">
        <v>67</v>
      </c>
    </row>
    <row r="13" spans="1:10" x14ac:dyDescent="0.25">
      <c r="A13" t="s">
        <v>43</v>
      </c>
      <c r="B13" t="s">
        <v>28</v>
      </c>
      <c r="C13" t="s">
        <v>135</v>
      </c>
      <c r="D13" s="7">
        <v>44659</v>
      </c>
      <c r="E13" s="7">
        <v>44662</v>
      </c>
      <c r="F13" s="8">
        <v>0</v>
      </c>
      <c r="G13" s="8">
        <v>0</v>
      </c>
      <c r="H13" s="9">
        <v>72</v>
      </c>
      <c r="I13" t="s">
        <v>67</v>
      </c>
    </row>
    <row r="14" spans="1:10" x14ac:dyDescent="0.25">
      <c r="A14" t="s">
        <v>43</v>
      </c>
      <c r="B14" t="s">
        <v>28</v>
      </c>
      <c r="C14" t="s">
        <v>135</v>
      </c>
      <c r="D14" s="7">
        <v>44666</v>
      </c>
      <c r="E14" s="7">
        <v>44670</v>
      </c>
      <c r="F14" s="8">
        <v>0</v>
      </c>
      <c r="G14" s="8">
        <v>0</v>
      </c>
      <c r="H14" s="9">
        <v>96</v>
      </c>
      <c r="I14" t="s">
        <v>67</v>
      </c>
    </row>
    <row r="15" spans="1:10" x14ac:dyDescent="0.25">
      <c r="A15" t="s">
        <v>43</v>
      </c>
      <c r="B15" t="s">
        <v>28</v>
      </c>
      <c r="C15" t="s">
        <v>135</v>
      </c>
      <c r="D15" s="7">
        <v>44673</v>
      </c>
      <c r="E15" s="7">
        <v>44676</v>
      </c>
      <c r="F15" s="8">
        <v>0</v>
      </c>
      <c r="G15" s="8">
        <v>0</v>
      </c>
      <c r="H15" s="9">
        <v>72</v>
      </c>
      <c r="I15" t="s">
        <v>67</v>
      </c>
    </row>
    <row r="16" spans="1:10" x14ac:dyDescent="0.25">
      <c r="A16" t="s">
        <v>44</v>
      </c>
      <c r="B16" t="s">
        <v>237</v>
      </c>
      <c r="C16" t="s">
        <v>238</v>
      </c>
      <c r="D16" s="7">
        <v>44673</v>
      </c>
      <c r="E16" s="7">
        <v>44680</v>
      </c>
      <c r="F16" s="8">
        <v>0</v>
      </c>
      <c r="G16" s="8">
        <v>0</v>
      </c>
      <c r="H16" s="9">
        <v>168</v>
      </c>
      <c r="I16" t="s">
        <v>67</v>
      </c>
    </row>
    <row r="17" spans="1:9" x14ac:dyDescent="0.25">
      <c r="A17" t="s">
        <v>43</v>
      </c>
      <c r="B17" t="s">
        <v>237</v>
      </c>
      <c r="C17" t="s">
        <v>263</v>
      </c>
      <c r="D17" s="7">
        <v>44676</v>
      </c>
      <c r="E17" s="7">
        <v>44676</v>
      </c>
      <c r="F17" s="8">
        <v>0</v>
      </c>
      <c r="G17" s="8">
        <v>0</v>
      </c>
      <c r="H17" s="9">
        <v>0</v>
      </c>
      <c r="I17" t="s">
        <v>67</v>
      </c>
    </row>
    <row r="18" spans="1:9" x14ac:dyDescent="0.25">
      <c r="A18" t="s">
        <v>122</v>
      </c>
      <c r="B18" t="s">
        <v>121</v>
      </c>
      <c r="C18" t="s">
        <v>138</v>
      </c>
      <c r="D18" s="7">
        <v>44617</v>
      </c>
      <c r="E18" s="7">
        <v>44622</v>
      </c>
      <c r="F18" s="8">
        <v>0</v>
      </c>
      <c r="G18" s="8">
        <v>0</v>
      </c>
      <c r="H18" s="9">
        <v>120</v>
      </c>
      <c r="I18" t="s">
        <v>67</v>
      </c>
    </row>
    <row r="19" spans="1:9" x14ac:dyDescent="0.25">
      <c r="A19" t="s">
        <v>122</v>
      </c>
      <c r="B19" t="s">
        <v>121</v>
      </c>
      <c r="C19" t="s">
        <v>140</v>
      </c>
      <c r="D19" s="7">
        <v>44617</v>
      </c>
      <c r="E19" s="7">
        <v>44621</v>
      </c>
      <c r="F19" s="8">
        <v>0</v>
      </c>
      <c r="G19" s="8">
        <v>0</v>
      </c>
      <c r="H19" s="9">
        <v>96</v>
      </c>
      <c r="I19" t="s">
        <v>67</v>
      </c>
    </row>
    <row r="20" spans="1:9" x14ac:dyDescent="0.25">
      <c r="A20" t="s">
        <v>118</v>
      </c>
      <c r="B20" t="s">
        <v>121</v>
      </c>
      <c r="C20" t="s">
        <v>143</v>
      </c>
      <c r="D20" s="7">
        <v>44629</v>
      </c>
      <c r="E20" s="7">
        <v>44635</v>
      </c>
      <c r="F20" s="8">
        <v>0</v>
      </c>
      <c r="G20" s="8">
        <v>0</v>
      </c>
      <c r="H20" s="9">
        <v>144</v>
      </c>
      <c r="I20" t="s">
        <v>67</v>
      </c>
    </row>
    <row r="21" spans="1:9" x14ac:dyDescent="0.25">
      <c r="A21" t="s">
        <v>120</v>
      </c>
      <c r="B21" t="s">
        <v>121</v>
      </c>
      <c r="C21" t="s">
        <v>144</v>
      </c>
      <c r="D21" s="7">
        <v>44623</v>
      </c>
      <c r="E21" s="7">
        <v>44627</v>
      </c>
      <c r="F21" s="8">
        <v>0</v>
      </c>
      <c r="G21" s="8">
        <v>0</v>
      </c>
      <c r="H21" s="9">
        <v>96</v>
      </c>
      <c r="I21" t="s">
        <v>67</v>
      </c>
    </row>
    <row r="22" spans="1:9" x14ac:dyDescent="0.25">
      <c r="A22" t="s">
        <v>120</v>
      </c>
      <c r="B22" t="s">
        <v>121</v>
      </c>
      <c r="C22" t="s">
        <v>145</v>
      </c>
      <c r="D22" s="7">
        <v>44629</v>
      </c>
      <c r="E22" s="7">
        <v>44636</v>
      </c>
      <c r="F22" s="8">
        <v>0</v>
      </c>
      <c r="G22" s="8">
        <v>0</v>
      </c>
      <c r="H22" s="9">
        <v>168</v>
      </c>
      <c r="I22" t="s">
        <v>67</v>
      </c>
    </row>
    <row r="23" spans="1:9" x14ac:dyDescent="0.25">
      <c r="A23" t="s">
        <v>119</v>
      </c>
      <c r="B23" t="s">
        <v>121</v>
      </c>
      <c r="C23" t="s">
        <v>147</v>
      </c>
      <c r="D23" s="7">
        <v>44631</v>
      </c>
      <c r="E23" s="7">
        <v>44631</v>
      </c>
      <c r="F23" s="8">
        <v>0</v>
      </c>
      <c r="G23" s="8">
        <v>0</v>
      </c>
      <c r="H23" s="9">
        <v>0</v>
      </c>
      <c r="I23" t="s">
        <v>67</v>
      </c>
    </row>
    <row r="24" spans="1:9" x14ac:dyDescent="0.25">
      <c r="A24" t="s">
        <v>119</v>
      </c>
      <c r="B24" t="s">
        <v>121</v>
      </c>
      <c r="C24" t="s">
        <v>148</v>
      </c>
      <c r="D24" s="7">
        <v>44631</v>
      </c>
      <c r="E24" s="7">
        <v>44642</v>
      </c>
      <c r="F24" s="8">
        <v>0</v>
      </c>
      <c r="G24" s="8">
        <v>0</v>
      </c>
      <c r="H24" s="9">
        <v>264</v>
      </c>
      <c r="I24" t="s">
        <v>67</v>
      </c>
    </row>
    <row r="25" spans="1:9" x14ac:dyDescent="0.25">
      <c r="A25" t="s">
        <v>125</v>
      </c>
      <c r="B25" t="s">
        <v>121</v>
      </c>
      <c r="C25" t="s">
        <v>149</v>
      </c>
      <c r="D25" s="7">
        <v>44635</v>
      </c>
      <c r="E25" s="7">
        <v>44635</v>
      </c>
      <c r="F25" s="8">
        <v>0</v>
      </c>
      <c r="G25" s="8">
        <v>0</v>
      </c>
      <c r="H25" s="9">
        <v>0</v>
      </c>
      <c r="I25" t="s">
        <v>67</v>
      </c>
    </row>
    <row r="26" spans="1:9" x14ac:dyDescent="0.25">
      <c r="A26" t="s">
        <v>122</v>
      </c>
      <c r="B26" t="s">
        <v>121</v>
      </c>
      <c r="C26" t="s">
        <v>150</v>
      </c>
      <c r="D26" s="7">
        <v>44634</v>
      </c>
      <c r="E26" s="7">
        <v>44634</v>
      </c>
      <c r="F26" s="8">
        <v>0</v>
      </c>
      <c r="G26" s="8">
        <v>0</v>
      </c>
      <c r="H26" s="9">
        <v>0</v>
      </c>
      <c r="I26" t="s">
        <v>67</v>
      </c>
    </row>
    <row r="27" spans="1:9" x14ac:dyDescent="0.25">
      <c r="A27" t="s">
        <v>43</v>
      </c>
      <c r="B27" t="s">
        <v>121</v>
      </c>
      <c r="C27" t="s">
        <v>151</v>
      </c>
      <c r="D27" s="7">
        <v>44634</v>
      </c>
      <c r="E27" s="7">
        <v>44634</v>
      </c>
      <c r="F27" s="8">
        <v>0</v>
      </c>
      <c r="G27" s="8">
        <v>0</v>
      </c>
      <c r="H27" s="9">
        <v>0</v>
      </c>
      <c r="I27" t="s">
        <v>67</v>
      </c>
    </row>
    <row r="28" spans="1:9" x14ac:dyDescent="0.25">
      <c r="A28" t="s">
        <v>125</v>
      </c>
      <c r="B28" t="s">
        <v>121</v>
      </c>
      <c r="C28" t="s">
        <v>152</v>
      </c>
      <c r="D28" s="7">
        <v>44634</v>
      </c>
      <c r="E28" s="7">
        <v>44634</v>
      </c>
      <c r="F28" s="8">
        <v>0</v>
      </c>
      <c r="G28" s="8">
        <v>0</v>
      </c>
      <c r="H28" s="9">
        <v>0</v>
      </c>
      <c r="I28" t="s">
        <v>67</v>
      </c>
    </row>
    <row r="29" spans="1:9" x14ac:dyDescent="0.25">
      <c r="A29" t="s">
        <v>120</v>
      </c>
      <c r="B29" t="s">
        <v>121</v>
      </c>
      <c r="C29" t="s">
        <v>153</v>
      </c>
      <c r="D29" s="7">
        <v>44635</v>
      </c>
      <c r="E29" s="7">
        <v>44635</v>
      </c>
      <c r="F29" s="8">
        <v>0</v>
      </c>
      <c r="G29" s="8">
        <v>0</v>
      </c>
      <c r="H29" s="9">
        <v>0</v>
      </c>
      <c r="I29" t="s">
        <v>67</v>
      </c>
    </row>
    <row r="30" spans="1:9" x14ac:dyDescent="0.25">
      <c r="A30" t="s">
        <v>43</v>
      </c>
      <c r="B30" t="s">
        <v>121</v>
      </c>
      <c r="C30" t="s">
        <v>154</v>
      </c>
      <c r="D30" s="7">
        <v>44635</v>
      </c>
      <c r="E30" s="7">
        <v>44644</v>
      </c>
      <c r="F30" s="8">
        <v>0</v>
      </c>
      <c r="G30" s="8">
        <v>0</v>
      </c>
      <c r="H30" s="9">
        <v>216</v>
      </c>
      <c r="I30" t="s">
        <v>67</v>
      </c>
    </row>
    <row r="31" spans="1:9" x14ac:dyDescent="0.25">
      <c r="A31" t="s">
        <v>43</v>
      </c>
      <c r="B31" t="s">
        <v>121</v>
      </c>
      <c r="C31" t="s">
        <v>155</v>
      </c>
      <c r="D31" s="7">
        <v>44635</v>
      </c>
      <c r="E31" s="7">
        <v>44637</v>
      </c>
      <c r="F31" s="8">
        <v>0</v>
      </c>
      <c r="G31" s="8">
        <v>0</v>
      </c>
      <c r="H31" s="9">
        <v>48</v>
      </c>
      <c r="I31" t="s">
        <v>67</v>
      </c>
    </row>
    <row r="32" spans="1:9" x14ac:dyDescent="0.25">
      <c r="A32" t="s">
        <v>125</v>
      </c>
      <c r="B32" t="s">
        <v>121</v>
      </c>
      <c r="C32" t="s">
        <v>152</v>
      </c>
      <c r="D32" s="7">
        <v>44635</v>
      </c>
      <c r="E32" s="7">
        <v>44637</v>
      </c>
      <c r="F32" s="8">
        <v>0</v>
      </c>
      <c r="G32" s="8">
        <v>0</v>
      </c>
      <c r="H32" s="9">
        <v>48</v>
      </c>
      <c r="I32" t="s">
        <v>67</v>
      </c>
    </row>
    <row r="33" spans="1:9" x14ac:dyDescent="0.25">
      <c r="A33" t="s">
        <v>120</v>
      </c>
      <c r="B33" t="s">
        <v>121</v>
      </c>
      <c r="C33" t="s">
        <v>156</v>
      </c>
      <c r="D33" s="7">
        <v>44636</v>
      </c>
      <c r="E33" s="7">
        <v>44636</v>
      </c>
      <c r="F33" s="8">
        <v>0</v>
      </c>
      <c r="G33" s="8">
        <v>0</v>
      </c>
      <c r="H33" s="9">
        <v>0</v>
      </c>
      <c r="I33" t="s">
        <v>67</v>
      </c>
    </row>
    <row r="34" spans="1:9" x14ac:dyDescent="0.25">
      <c r="A34" t="s">
        <v>120</v>
      </c>
      <c r="B34" t="s">
        <v>121</v>
      </c>
      <c r="C34" t="s">
        <v>153</v>
      </c>
      <c r="D34" s="7">
        <v>44636</v>
      </c>
      <c r="E34" s="7">
        <v>44637</v>
      </c>
      <c r="F34" s="8">
        <v>0</v>
      </c>
      <c r="G34" s="8">
        <v>0</v>
      </c>
      <c r="H34" s="9">
        <v>24</v>
      </c>
      <c r="I34" t="s">
        <v>67</v>
      </c>
    </row>
    <row r="35" spans="1:9" x14ac:dyDescent="0.25">
      <c r="A35" t="s">
        <v>125</v>
      </c>
      <c r="B35" t="s">
        <v>121</v>
      </c>
      <c r="C35" t="s">
        <v>157</v>
      </c>
      <c r="D35" s="7">
        <v>44636</v>
      </c>
      <c r="E35" s="7">
        <v>44636</v>
      </c>
      <c r="F35" s="8">
        <v>0</v>
      </c>
      <c r="G35" s="8">
        <v>0</v>
      </c>
      <c r="H35" s="9">
        <v>0</v>
      </c>
      <c r="I35" t="s">
        <v>67</v>
      </c>
    </row>
    <row r="36" spans="1:9" x14ac:dyDescent="0.25">
      <c r="A36" t="s">
        <v>43</v>
      </c>
      <c r="B36" t="s">
        <v>121</v>
      </c>
      <c r="C36" t="s">
        <v>158</v>
      </c>
      <c r="D36" s="7">
        <v>44686</v>
      </c>
      <c r="E36" s="7">
        <v>949998</v>
      </c>
      <c r="F36" s="8">
        <v>0</v>
      </c>
      <c r="G36" s="8">
        <v>0</v>
      </c>
      <c r="H36" s="9">
        <v>21727488</v>
      </c>
      <c r="I36" t="s">
        <v>67</v>
      </c>
    </row>
    <row r="37" spans="1:9" x14ac:dyDescent="0.25">
      <c r="A37" t="s">
        <v>46</v>
      </c>
      <c r="B37" t="s">
        <v>121</v>
      </c>
      <c r="C37" t="s">
        <v>160</v>
      </c>
      <c r="D37" s="7">
        <v>44637</v>
      </c>
      <c r="E37" s="7">
        <v>44641</v>
      </c>
      <c r="F37" s="8">
        <v>0</v>
      </c>
      <c r="G37" s="8">
        <v>0</v>
      </c>
      <c r="H37" s="9">
        <v>96</v>
      </c>
      <c r="I37" t="s">
        <v>67</v>
      </c>
    </row>
    <row r="38" spans="1:9" x14ac:dyDescent="0.25">
      <c r="A38" t="s">
        <v>43</v>
      </c>
      <c r="B38" t="s">
        <v>121</v>
      </c>
      <c r="C38" t="s">
        <v>161</v>
      </c>
      <c r="D38" s="7">
        <v>44637</v>
      </c>
      <c r="E38" s="7">
        <v>44641</v>
      </c>
      <c r="F38" s="8">
        <v>0</v>
      </c>
      <c r="G38" s="8">
        <v>0</v>
      </c>
      <c r="H38" s="9">
        <v>96</v>
      </c>
      <c r="I38" t="s">
        <v>67</v>
      </c>
    </row>
    <row r="39" spans="1:9" x14ac:dyDescent="0.25">
      <c r="A39" t="s">
        <v>43</v>
      </c>
      <c r="B39" t="s">
        <v>121</v>
      </c>
      <c r="C39" t="s">
        <v>163</v>
      </c>
      <c r="D39" s="7">
        <v>44641</v>
      </c>
      <c r="E39" s="7">
        <v>44641</v>
      </c>
      <c r="F39" s="8">
        <v>0</v>
      </c>
      <c r="G39" s="8">
        <v>0</v>
      </c>
      <c r="H39" s="9">
        <v>0</v>
      </c>
      <c r="I39" t="s">
        <v>67</v>
      </c>
    </row>
    <row r="40" spans="1:9" x14ac:dyDescent="0.25">
      <c r="A40" t="s">
        <v>125</v>
      </c>
      <c r="B40" t="s">
        <v>121</v>
      </c>
      <c r="C40" t="s">
        <v>164</v>
      </c>
      <c r="D40" s="7">
        <v>44638</v>
      </c>
      <c r="E40" s="7">
        <v>44673</v>
      </c>
      <c r="F40" s="8">
        <v>0</v>
      </c>
      <c r="G40" s="8">
        <v>0</v>
      </c>
      <c r="H40" s="9">
        <v>840</v>
      </c>
      <c r="I40" t="s">
        <v>67</v>
      </c>
    </row>
    <row r="41" spans="1:9" x14ac:dyDescent="0.25">
      <c r="A41" t="s">
        <v>119</v>
      </c>
      <c r="B41" t="s">
        <v>121</v>
      </c>
      <c r="C41" t="s">
        <v>165</v>
      </c>
      <c r="D41" s="7">
        <v>44641</v>
      </c>
      <c r="E41" s="7">
        <v>44642</v>
      </c>
      <c r="F41" s="8">
        <v>0</v>
      </c>
      <c r="G41" s="8">
        <v>0</v>
      </c>
      <c r="H41" s="9">
        <v>24</v>
      </c>
      <c r="I41" t="s">
        <v>67</v>
      </c>
    </row>
    <row r="42" spans="1:9" x14ac:dyDescent="0.25">
      <c r="A42" t="s">
        <v>119</v>
      </c>
      <c r="B42" t="s">
        <v>121</v>
      </c>
      <c r="C42" t="s">
        <v>65</v>
      </c>
      <c r="D42" s="7">
        <v>44641</v>
      </c>
      <c r="E42" s="7">
        <v>44641</v>
      </c>
      <c r="F42" s="8">
        <v>0</v>
      </c>
      <c r="G42" s="8">
        <v>0</v>
      </c>
      <c r="H42" s="9">
        <v>0</v>
      </c>
      <c r="I42" t="s">
        <v>67</v>
      </c>
    </row>
    <row r="43" spans="1:9" x14ac:dyDescent="0.25">
      <c r="A43" t="s">
        <v>118</v>
      </c>
      <c r="B43" t="s">
        <v>121</v>
      </c>
      <c r="C43" t="s">
        <v>63</v>
      </c>
      <c r="D43" s="7">
        <v>44642</v>
      </c>
      <c r="E43" s="7">
        <v>949998</v>
      </c>
      <c r="F43" s="8">
        <v>0</v>
      </c>
      <c r="G43" s="8">
        <v>0</v>
      </c>
      <c r="H43" s="9">
        <v>21728544</v>
      </c>
      <c r="I43" t="s">
        <v>67</v>
      </c>
    </row>
    <row r="44" spans="1:9" x14ac:dyDescent="0.25">
      <c r="A44" t="s">
        <v>119</v>
      </c>
      <c r="B44" t="s">
        <v>121</v>
      </c>
      <c r="C44" t="s">
        <v>165</v>
      </c>
      <c r="D44" s="7">
        <v>44642</v>
      </c>
      <c r="E44" s="7">
        <v>44659</v>
      </c>
      <c r="F44" s="8">
        <v>0</v>
      </c>
      <c r="G44" s="8">
        <v>0</v>
      </c>
      <c r="H44" s="9">
        <v>408</v>
      </c>
      <c r="I44" t="s">
        <v>67</v>
      </c>
    </row>
    <row r="45" spans="1:9" x14ac:dyDescent="0.25">
      <c r="A45" t="s">
        <v>118</v>
      </c>
      <c r="B45" t="s">
        <v>121</v>
      </c>
      <c r="C45" t="s">
        <v>166</v>
      </c>
      <c r="D45" s="7">
        <v>44642</v>
      </c>
      <c r="E45" s="7">
        <v>44644</v>
      </c>
      <c r="F45" s="8">
        <v>0</v>
      </c>
      <c r="G45" s="8">
        <v>0</v>
      </c>
      <c r="H45" s="9">
        <v>48</v>
      </c>
      <c r="I45" t="s">
        <v>67</v>
      </c>
    </row>
    <row r="46" spans="1:9" x14ac:dyDescent="0.25">
      <c r="A46" t="s">
        <v>125</v>
      </c>
      <c r="B46" t="s">
        <v>121</v>
      </c>
      <c r="C46" t="s">
        <v>167</v>
      </c>
      <c r="D46" s="7">
        <v>44642</v>
      </c>
      <c r="E46" s="7">
        <v>44642</v>
      </c>
      <c r="F46" s="8">
        <v>0</v>
      </c>
      <c r="G46" s="8">
        <v>0</v>
      </c>
      <c r="H46" s="9">
        <v>0</v>
      </c>
      <c r="I46" t="s">
        <v>67</v>
      </c>
    </row>
    <row r="47" spans="1:9" x14ac:dyDescent="0.25">
      <c r="A47" t="s">
        <v>125</v>
      </c>
      <c r="B47" t="s">
        <v>121</v>
      </c>
      <c r="C47" t="s">
        <v>168</v>
      </c>
      <c r="D47" s="7">
        <v>44642</v>
      </c>
      <c r="E47" s="7">
        <v>44644</v>
      </c>
      <c r="F47" s="8">
        <v>0</v>
      </c>
      <c r="G47" s="8">
        <v>0</v>
      </c>
      <c r="H47" s="9">
        <v>48</v>
      </c>
      <c r="I47" t="s">
        <v>67</v>
      </c>
    </row>
    <row r="48" spans="1:9" x14ac:dyDescent="0.25">
      <c r="A48" t="s">
        <v>43</v>
      </c>
      <c r="B48" t="s">
        <v>121</v>
      </c>
      <c r="C48" t="s">
        <v>169</v>
      </c>
      <c r="D48" s="7">
        <v>44643</v>
      </c>
      <c r="E48" s="7">
        <v>44649</v>
      </c>
      <c r="F48" s="8">
        <v>0</v>
      </c>
      <c r="G48" s="8">
        <v>0</v>
      </c>
      <c r="H48" s="9">
        <v>144</v>
      </c>
      <c r="I48" t="s">
        <v>67</v>
      </c>
    </row>
    <row r="49" spans="1:9" x14ac:dyDescent="0.25">
      <c r="A49" t="s">
        <v>125</v>
      </c>
      <c r="B49" t="s">
        <v>121</v>
      </c>
      <c r="C49" t="s">
        <v>168</v>
      </c>
      <c r="D49" s="7">
        <v>44644</v>
      </c>
      <c r="E49" s="7">
        <v>44644</v>
      </c>
      <c r="F49" s="8">
        <v>0</v>
      </c>
      <c r="G49" s="8">
        <v>0</v>
      </c>
      <c r="H49" s="9">
        <v>0</v>
      </c>
      <c r="I49" t="s">
        <v>67</v>
      </c>
    </row>
    <row r="50" spans="1:9" x14ac:dyDescent="0.25">
      <c r="A50" t="s">
        <v>43</v>
      </c>
      <c r="B50" t="s">
        <v>121</v>
      </c>
      <c r="C50" t="s">
        <v>172</v>
      </c>
      <c r="D50" s="7">
        <v>44644</v>
      </c>
      <c r="E50" s="7">
        <v>44644</v>
      </c>
      <c r="F50" s="8">
        <v>0</v>
      </c>
      <c r="G50" s="8">
        <v>0</v>
      </c>
      <c r="H50" s="9">
        <v>0</v>
      </c>
      <c r="I50" t="s">
        <v>67</v>
      </c>
    </row>
    <row r="51" spans="1:9" x14ac:dyDescent="0.25">
      <c r="A51" t="s">
        <v>43</v>
      </c>
      <c r="B51" t="s">
        <v>121</v>
      </c>
      <c r="C51" t="s">
        <v>173</v>
      </c>
      <c r="D51" s="7">
        <v>44644</v>
      </c>
      <c r="E51" s="7">
        <v>44644</v>
      </c>
      <c r="F51" s="8">
        <v>0</v>
      </c>
      <c r="G51" s="8">
        <v>0</v>
      </c>
      <c r="H51" s="9">
        <v>0</v>
      </c>
      <c r="I51" t="s">
        <v>67</v>
      </c>
    </row>
    <row r="52" spans="1:9" x14ac:dyDescent="0.25">
      <c r="A52" t="s">
        <v>43</v>
      </c>
      <c r="B52" t="s">
        <v>121</v>
      </c>
      <c r="C52" t="s">
        <v>158</v>
      </c>
      <c r="D52" s="7">
        <v>44637</v>
      </c>
      <c r="E52" s="7">
        <v>44648</v>
      </c>
      <c r="F52" s="8">
        <v>0</v>
      </c>
      <c r="G52" s="8">
        <v>0</v>
      </c>
      <c r="H52" s="9">
        <v>264</v>
      </c>
      <c r="I52" t="s">
        <v>67</v>
      </c>
    </row>
    <row r="53" spans="1:9" x14ac:dyDescent="0.25">
      <c r="A53" t="s">
        <v>43</v>
      </c>
      <c r="B53" t="s">
        <v>121</v>
      </c>
      <c r="C53" t="s">
        <v>81</v>
      </c>
      <c r="D53" s="7">
        <v>44648</v>
      </c>
      <c r="E53" s="7">
        <v>44662</v>
      </c>
      <c r="F53" s="8">
        <v>0</v>
      </c>
      <c r="G53" s="8">
        <v>0</v>
      </c>
      <c r="H53" s="9">
        <v>336</v>
      </c>
      <c r="I53" t="s">
        <v>67</v>
      </c>
    </row>
    <row r="54" spans="1:9" x14ac:dyDescent="0.25">
      <c r="A54" t="s">
        <v>46</v>
      </c>
      <c r="B54" t="s">
        <v>121</v>
      </c>
      <c r="C54" t="s">
        <v>174</v>
      </c>
      <c r="D54" s="7">
        <v>44649</v>
      </c>
      <c r="E54" s="7">
        <v>44649</v>
      </c>
      <c r="F54" s="8">
        <v>0</v>
      </c>
      <c r="G54" s="8">
        <v>0</v>
      </c>
      <c r="H54" s="9">
        <v>0</v>
      </c>
      <c r="I54" t="s">
        <v>67</v>
      </c>
    </row>
    <row r="55" spans="1:9" x14ac:dyDescent="0.25">
      <c r="A55" t="s">
        <v>48</v>
      </c>
      <c r="B55" t="s">
        <v>121</v>
      </c>
      <c r="C55" t="s">
        <v>175</v>
      </c>
      <c r="D55" s="7">
        <v>44649</v>
      </c>
      <c r="E55" s="7">
        <v>44649</v>
      </c>
      <c r="F55" s="8">
        <v>0</v>
      </c>
      <c r="G55" s="8">
        <v>0</v>
      </c>
      <c r="H55" s="9">
        <v>0</v>
      </c>
      <c r="I55" t="s">
        <v>67</v>
      </c>
    </row>
    <row r="56" spans="1:9" x14ac:dyDescent="0.25">
      <c r="A56" t="s">
        <v>48</v>
      </c>
      <c r="B56" t="s">
        <v>121</v>
      </c>
      <c r="C56" t="s">
        <v>108</v>
      </c>
      <c r="D56" s="7">
        <v>44649</v>
      </c>
      <c r="E56" s="7">
        <v>44649</v>
      </c>
      <c r="F56" s="8">
        <v>0</v>
      </c>
      <c r="G56" s="8">
        <v>0</v>
      </c>
      <c r="H56" s="9">
        <v>0</v>
      </c>
      <c r="I56" t="s">
        <v>67</v>
      </c>
    </row>
    <row r="57" spans="1:9" x14ac:dyDescent="0.25">
      <c r="A57" t="s">
        <v>43</v>
      </c>
      <c r="B57" t="s">
        <v>121</v>
      </c>
      <c r="C57" t="s">
        <v>176</v>
      </c>
      <c r="D57" s="7">
        <v>44649</v>
      </c>
      <c r="E57" s="7">
        <v>44662</v>
      </c>
      <c r="F57" s="8">
        <v>0</v>
      </c>
      <c r="G57" s="8">
        <v>0</v>
      </c>
      <c r="H57" s="9">
        <v>312</v>
      </c>
      <c r="I57" t="s">
        <v>67</v>
      </c>
    </row>
    <row r="58" spans="1:9" x14ac:dyDescent="0.25">
      <c r="A58" t="s">
        <v>46</v>
      </c>
      <c r="B58" t="s">
        <v>121</v>
      </c>
      <c r="C58" t="s">
        <v>178</v>
      </c>
      <c r="D58" s="7">
        <v>44649</v>
      </c>
      <c r="E58" s="7">
        <v>44652</v>
      </c>
      <c r="F58" s="8">
        <v>0</v>
      </c>
      <c r="G58" s="8">
        <v>0</v>
      </c>
      <c r="H58" s="9">
        <v>72</v>
      </c>
      <c r="I58" t="s">
        <v>67</v>
      </c>
    </row>
    <row r="59" spans="1:9" x14ac:dyDescent="0.25">
      <c r="A59" t="s">
        <v>43</v>
      </c>
      <c r="B59" t="s">
        <v>121</v>
      </c>
      <c r="C59" t="s">
        <v>123</v>
      </c>
      <c r="D59" s="7">
        <v>44649</v>
      </c>
      <c r="E59" s="7">
        <v>44649</v>
      </c>
      <c r="F59" s="8">
        <v>0</v>
      </c>
      <c r="G59" s="8">
        <v>0</v>
      </c>
      <c r="H59" s="9">
        <v>0</v>
      </c>
      <c r="I59" t="s">
        <v>67</v>
      </c>
    </row>
    <row r="60" spans="1:9" x14ac:dyDescent="0.25">
      <c r="A60" t="s">
        <v>46</v>
      </c>
      <c r="B60" t="s">
        <v>121</v>
      </c>
      <c r="C60" t="s">
        <v>124</v>
      </c>
      <c r="D60" s="7">
        <v>44649</v>
      </c>
      <c r="E60" s="7">
        <v>44652</v>
      </c>
      <c r="F60" s="8">
        <v>0</v>
      </c>
      <c r="G60" s="8">
        <v>0</v>
      </c>
      <c r="H60" s="9">
        <v>72</v>
      </c>
      <c r="I60" t="s">
        <v>67</v>
      </c>
    </row>
    <row r="61" spans="1:9" x14ac:dyDescent="0.25">
      <c r="A61" t="s">
        <v>43</v>
      </c>
      <c r="B61" t="s">
        <v>121</v>
      </c>
      <c r="C61" t="s">
        <v>180</v>
      </c>
      <c r="D61" s="7">
        <v>44650</v>
      </c>
      <c r="E61" s="7">
        <v>44657</v>
      </c>
      <c r="F61" s="8">
        <v>0</v>
      </c>
      <c r="G61" s="8">
        <v>0</v>
      </c>
      <c r="H61" s="9">
        <v>168</v>
      </c>
      <c r="I61" t="s">
        <v>67</v>
      </c>
    </row>
    <row r="62" spans="1:9" x14ac:dyDescent="0.25">
      <c r="A62" t="s">
        <v>125</v>
      </c>
      <c r="B62" t="s">
        <v>121</v>
      </c>
      <c r="C62" t="s">
        <v>181</v>
      </c>
      <c r="D62" s="7">
        <v>44650</v>
      </c>
      <c r="E62" s="7">
        <v>44662</v>
      </c>
      <c r="F62" s="8">
        <v>0</v>
      </c>
      <c r="G62" s="8">
        <v>0</v>
      </c>
      <c r="H62" s="9">
        <v>288</v>
      </c>
      <c r="I62" t="s">
        <v>67</v>
      </c>
    </row>
    <row r="63" spans="1:9" x14ac:dyDescent="0.25">
      <c r="A63" t="s">
        <v>120</v>
      </c>
      <c r="B63" t="s">
        <v>121</v>
      </c>
      <c r="C63" t="s">
        <v>182</v>
      </c>
      <c r="D63" s="7">
        <v>44650</v>
      </c>
      <c r="E63" s="7">
        <v>44665</v>
      </c>
      <c r="F63" s="8">
        <v>0</v>
      </c>
      <c r="G63" s="8">
        <v>0</v>
      </c>
      <c r="H63" s="9">
        <v>360</v>
      </c>
      <c r="I63" t="s">
        <v>67</v>
      </c>
    </row>
    <row r="64" spans="1:9" x14ac:dyDescent="0.25">
      <c r="A64" t="s">
        <v>46</v>
      </c>
      <c r="B64" t="s">
        <v>121</v>
      </c>
      <c r="C64" t="s">
        <v>83</v>
      </c>
      <c r="D64" s="7">
        <v>44652</v>
      </c>
      <c r="E64" s="7">
        <v>44662</v>
      </c>
      <c r="F64" s="8">
        <v>0</v>
      </c>
      <c r="G64" s="8">
        <v>0</v>
      </c>
      <c r="H64" s="9">
        <v>240</v>
      </c>
      <c r="I64" t="s">
        <v>67</v>
      </c>
    </row>
    <row r="65" spans="1:9" x14ac:dyDescent="0.25">
      <c r="A65" t="s">
        <v>45</v>
      </c>
      <c r="B65" t="s">
        <v>121</v>
      </c>
      <c r="C65" t="s">
        <v>95</v>
      </c>
      <c r="D65" s="7">
        <v>44652</v>
      </c>
      <c r="E65" s="7">
        <v>44656</v>
      </c>
      <c r="F65" s="8">
        <v>0</v>
      </c>
      <c r="G65" s="8">
        <v>0</v>
      </c>
      <c r="H65" s="9">
        <v>96</v>
      </c>
      <c r="I65" t="s">
        <v>67</v>
      </c>
    </row>
    <row r="66" spans="1:9" x14ac:dyDescent="0.25">
      <c r="A66" t="s">
        <v>43</v>
      </c>
      <c r="B66" t="s">
        <v>121</v>
      </c>
      <c r="C66" t="s">
        <v>64</v>
      </c>
      <c r="D66" s="7">
        <v>44655</v>
      </c>
      <c r="E66" s="7">
        <v>44663</v>
      </c>
      <c r="F66" s="8">
        <v>0</v>
      </c>
      <c r="G66" s="8">
        <v>0</v>
      </c>
      <c r="H66" s="9">
        <v>192</v>
      </c>
      <c r="I66" t="s">
        <v>67</v>
      </c>
    </row>
    <row r="67" spans="1:9" x14ac:dyDescent="0.25">
      <c r="A67" t="s">
        <v>43</v>
      </c>
      <c r="B67" t="s">
        <v>121</v>
      </c>
      <c r="C67" t="s">
        <v>158</v>
      </c>
      <c r="D67" s="7">
        <v>44644</v>
      </c>
      <c r="E67" s="7">
        <v>44658</v>
      </c>
      <c r="F67" s="8">
        <v>0</v>
      </c>
      <c r="G67" s="8">
        <v>0</v>
      </c>
      <c r="H67" s="9">
        <v>336</v>
      </c>
      <c r="I67" t="s">
        <v>67</v>
      </c>
    </row>
    <row r="68" spans="1:9" x14ac:dyDescent="0.25">
      <c r="A68" t="s">
        <v>44</v>
      </c>
      <c r="B68" t="s">
        <v>121</v>
      </c>
      <c r="C68" t="s">
        <v>88</v>
      </c>
      <c r="D68" s="7">
        <v>44656</v>
      </c>
      <c r="E68" s="7">
        <v>44658</v>
      </c>
      <c r="F68" s="8">
        <v>0</v>
      </c>
      <c r="G68" s="8">
        <v>0</v>
      </c>
      <c r="H68" s="9">
        <v>48</v>
      </c>
      <c r="I68" t="s">
        <v>67</v>
      </c>
    </row>
    <row r="69" spans="1:9" x14ac:dyDescent="0.25">
      <c r="A69" t="s">
        <v>43</v>
      </c>
      <c r="B69" t="s">
        <v>121</v>
      </c>
      <c r="C69" t="s">
        <v>89</v>
      </c>
      <c r="D69" s="7">
        <v>44656</v>
      </c>
      <c r="E69" s="7">
        <v>44658</v>
      </c>
      <c r="F69" s="8">
        <v>0</v>
      </c>
      <c r="G69" s="8">
        <v>0</v>
      </c>
      <c r="H69" s="9">
        <v>48</v>
      </c>
      <c r="I69" t="s">
        <v>67</v>
      </c>
    </row>
    <row r="70" spans="1:9" x14ac:dyDescent="0.25">
      <c r="A70" t="s">
        <v>119</v>
      </c>
      <c r="B70" t="s">
        <v>121</v>
      </c>
      <c r="C70" t="s">
        <v>68</v>
      </c>
      <c r="D70" s="7">
        <v>44656</v>
      </c>
      <c r="E70" s="7">
        <v>44658</v>
      </c>
      <c r="F70" s="8">
        <v>0</v>
      </c>
      <c r="G70" s="8">
        <v>0</v>
      </c>
      <c r="H70" s="9">
        <v>48</v>
      </c>
      <c r="I70" t="s">
        <v>67</v>
      </c>
    </row>
    <row r="71" spans="1:9" x14ac:dyDescent="0.25">
      <c r="A71" t="s">
        <v>45</v>
      </c>
      <c r="B71" t="s">
        <v>121</v>
      </c>
      <c r="C71" t="s">
        <v>96</v>
      </c>
      <c r="D71" s="7">
        <v>44657</v>
      </c>
      <c r="E71" s="7">
        <v>44659</v>
      </c>
      <c r="F71" s="8">
        <v>0</v>
      </c>
      <c r="G71" s="8">
        <v>0</v>
      </c>
      <c r="H71" s="9">
        <v>48</v>
      </c>
      <c r="I71" t="s">
        <v>67</v>
      </c>
    </row>
    <row r="72" spans="1:9" x14ac:dyDescent="0.25">
      <c r="A72" t="s">
        <v>43</v>
      </c>
      <c r="B72" t="s">
        <v>121</v>
      </c>
      <c r="C72" t="s">
        <v>80</v>
      </c>
      <c r="D72" s="7">
        <v>44658</v>
      </c>
      <c r="E72" s="7">
        <v>44659</v>
      </c>
      <c r="F72" s="8">
        <v>0</v>
      </c>
      <c r="G72" s="8">
        <v>0</v>
      </c>
      <c r="H72" s="9">
        <v>24</v>
      </c>
      <c r="I72" t="s">
        <v>67</v>
      </c>
    </row>
    <row r="73" spans="1:9" x14ac:dyDescent="0.25">
      <c r="A73" t="s">
        <v>43</v>
      </c>
      <c r="B73" t="s">
        <v>121</v>
      </c>
      <c r="C73" t="s">
        <v>185</v>
      </c>
      <c r="D73" s="7">
        <v>44658</v>
      </c>
      <c r="E73" s="7">
        <v>949998</v>
      </c>
      <c r="F73" s="8">
        <v>0</v>
      </c>
      <c r="G73" s="8">
        <v>0</v>
      </c>
      <c r="H73" s="9">
        <v>21728160</v>
      </c>
      <c r="I73" t="s">
        <v>67</v>
      </c>
    </row>
    <row r="74" spans="1:9" x14ac:dyDescent="0.25">
      <c r="A74" t="s">
        <v>118</v>
      </c>
      <c r="B74" t="s">
        <v>121</v>
      </c>
      <c r="C74" t="s">
        <v>186</v>
      </c>
      <c r="D74" s="7">
        <v>44655</v>
      </c>
      <c r="E74" s="7">
        <v>949998</v>
      </c>
      <c r="F74" s="8">
        <v>0</v>
      </c>
      <c r="G74" s="8">
        <v>0</v>
      </c>
      <c r="H74" s="9">
        <v>21728232</v>
      </c>
      <c r="I74" t="s">
        <v>67</v>
      </c>
    </row>
    <row r="75" spans="1:9" x14ac:dyDescent="0.25">
      <c r="A75" t="s">
        <v>125</v>
      </c>
      <c r="B75" t="s">
        <v>121</v>
      </c>
      <c r="C75" t="s">
        <v>189</v>
      </c>
      <c r="D75" s="7">
        <v>44662</v>
      </c>
      <c r="E75" s="7">
        <v>44673</v>
      </c>
      <c r="F75" s="8">
        <v>0</v>
      </c>
      <c r="G75" s="8">
        <v>0</v>
      </c>
      <c r="H75" s="9">
        <v>264</v>
      </c>
      <c r="I75" t="s">
        <v>67</v>
      </c>
    </row>
    <row r="76" spans="1:9" x14ac:dyDescent="0.25">
      <c r="A76" t="s">
        <v>120</v>
      </c>
      <c r="B76" t="s">
        <v>121</v>
      </c>
      <c r="C76" t="s">
        <v>190</v>
      </c>
      <c r="D76" s="7">
        <v>44662</v>
      </c>
      <c r="E76" s="7">
        <v>44664</v>
      </c>
      <c r="F76" s="8">
        <v>0</v>
      </c>
      <c r="G76" s="8">
        <v>0</v>
      </c>
      <c r="H76" s="9">
        <v>48</v>
      </c>
      <c r="I76" t="s">
        <v>67</v>
      </c>
    </row>
    <row r="77" spans="1:9" x14ac:dyDescent="0.25">
      <c r="A77" t="s">
        <v>43</v>
      </c>
      <c r="B77" t="s">
        <v>121</v>
      </c>
      <c r="C77" t="s">
        <v>158</v>
      </c>
      <c r="D77" s="7">
        <v>44651</v>
      </c>
      <c r="E77" s="7">
        <v>44662</v>
      </c>
      <c r="F77" s="8">
        <v>0</v>
      </c>
      <c r="G77" s="8">
        <v>0</v>
      </c>
      <c r="H77" s="9">
        <v>264</v>
      </c>
      <c r="I77" t="s">
        <v>67</v>
      </c>
    </row>
    <row r="78" spans="1:9" x14ac:dyDescent="0.25">
      <c r="A78" t="s">
        <v>45</v>
      </c>
      <c r="B78" t="s">
        <v>121</v>
      </c>
      <c r="C78" t="s">
        <v>191</v>
      </c>
      <c r="D78" s="7">
        <v>44662</v>
      </c>
      <c r="E78" s="7">
        <v>44669</v>
      </c>
      <c r="F78" s="8">
        <v>0</v>
      </c>
      <c r="G78" s="8">
        <v>0</v>
      </c>
      <c r="H78" s="9">
        <v>168</v>
      </c>
      <c r="I78" t="s">
        <v>67</v>
      </c>
    </row>
    <row r="79" spans="1:9" x14ac:dyDescent="0.25">
      <c r="A79" t="s">
        <v>46</v>
      </c>
      <c r="B79" t="s">
        <v>121</v>
      </c>
      <c r="C79" t="s">
        <v>234</v>
      </c>
      <c r="D79" s="7">
        <v>44663</v>
      </c>
      <c r="E79" s="7">
        <v>949998</v>
      </c>
      <c r="F79" s="8">
        <v>0</v>
      </c>
      <c r="G79" s="8">
        <v>0</v>
      </c>
      <c r="H79" s="9">
        <v>21728040</v>
      </c>
      <c r="I79" t="s">
        <v>67</v>
      </c>
    </row>
    <row r="80" spans="1:9" x14ac:dyDescent="0.25">
      <c r="A80" t="s">
        <v>46</v>
      </c>
      <c r="B80" t="s">
        <v>121</v>
      </c>
      <c r="C80" t="s">
        <v>194</v>
      </c>
      <c r="D80" s="7">
        <v>44664</v>
      </c>
      <c r="E80" s="7">
        <v>44666</v>
      </c>
      <c r="F80" s="8">
        <v>0</v>
      </c>
      <c r="G80" s="8">
        <v>0</v>
      </c>
      <c r="H80" s="9">
        <v>48</v>
      </c>
      <c r="I80" t="s">
        <v>67</v>
      </c>
    </row>
    <row r="81" spans="1:9" x14ac:dyDescent="0.25">
      <c r="A81" t="s">
        <v>46</v>
      </c>
      <c r="B81" t="s">
        <v>121</v>
      </c>
      <c r="C81" t="s">
        <v>193</v>
      </c>
      <c r="D81" s="7">
        <v>44664</v>
      </c>
      <c r="E81" s="7">
        <v>44672</v>
      </c>
      <c r="F81" s="8">
        <v>0</v>
      </c>
      <c r="G81" s="8">
        <v>0</v>
      </c>
      <c r="H81" s="9">
        <v>192</v>
      </c>
      <c r="I81" t="s">
        <v>67</v>
      </c>
    </row>
    <row r="82" spans="1:9" x14ac:dyDescent="0.25">
      <c r="A82" t="s">
        <v>53</v>
      </c>
      <c r="B82" t="s">
        <v>121</v>
      </c>
      <c r="C82" t="s">
        <v>100</v>
      </c>
      <c r="D82" s="7">
        <v>44664</v>
      </c>
      <c r="E82" s="7">
        <v>44665</v>
      </c>
      <c r="F82" s="8">
        <v>0</v>
      </c>
      <c r="G82" s="8">
        <v>0</v>
      </c>
      <c r="H82" s="9">
        <v>24</v>
      </c>
      <c r="I82" t="s">
        <v>67</v>
      </c>
    </row>
    <row r="83" spans="1:9" x14ac:dyDescent="0.25">
      <c r="A83" t="s">
        <v>46</v>
      </c>
      <c r="B83" t="s">
        <v>121</v>
      </c>
      <c r="C83" t="s">
        <v>85</v>
      </c>
      <c r="D83" s="7">
        <v>44664</v>
      </c>
      <c r="E83" s="7">
        <v>44672</v>
      </c>
      <c r="F83" s="8">
        <v>0</v>
      </c>
      <c r="G83" s="8">
        <v>0</v>
      </c>
      <c r="H83" s="9">
        <v>192</v>
      </c>
      <c r="I83" t="s">
        <v>67</v>
      </c>
    </row>
    <row r="84" spans="1:9" x14ac:dyDescent="0.25">
      <c r="A84" t="s">
        <v>52</v>
      </c>
      <c r="B84" t="s">
        <v>121</v>
      </c>
      <c r="C84" t="s">
        <v>195</v>
      </c>
      <c r="D84" s="7">
        <v>44664</v>
      </c>
      <c r="E84" s="7">
        <v>44664</v>
      </c>
      <c r="F84" s="8">
        <v>0</v>
      </c>
      <c r="G84" s="8">
        <v>0</v>
      </c>
      <c r="H84" s="9">
        <v>0</v>
      </c>
      <c r="I84" t="s">
        <v>67</v>
      </c>
    </row>
    <row r="85" spans="1:9" x14ac:dyDescent="0.25">
      <c r="A85" t="s">
        <v>48</v>
      </c>
      <c r="B85" t="s">
        <v>121</v>
      </c>
      <c r="C85" t="s">
        <v>79</v>
      </c>
      <c r="D85" s="7">
        <v>44664</v>
      </c>
      <c r="E85" s="7">
        <v>44669</v>
      </c>
      <c r="F85" s="8">
        <v>0</v>
      </c>
      <c r="G85" s="8">
        <v>0</v>
      </c>
      <c r="H85" s="9">
        <v>120</v>
      </c>
      <c r="I85" t="s">
        <v>67</v>
      </c>
    </row>
    <row r="86" spans="1:9" x14ac:dyDescent="0.25">
      <c r="A86" t="s">
        <v>43</v>
      </c>
      <c r="B86" t="s">
        <v>121</v>
      </c>
      <c r="C86" t="s">
        <v>196</v>
      </c>
      <c r="D86" s="7">
        <v>44665</v>
      </c>
      <c r="E86" s="7">
        <v>44672</v>
      </c>
      <c r="F86" s="8">
        <v>0</v>
      </c>
      <c r="G86" s="8">
        <v>0</v>
      </c>
      <c r="H86" s="9">
        <v>168</v>
      </c>
      <c r="I86" t="s">
        <v>67</v>
      </c>
    </row>
    <row r="87" spans="1:9" x14ac:dyDescent="0.25">
      <c r="A87" t="s">
        <v>48</v>
      </c>
      <c r="B87" t="s">
        <v>121</v>
      </c>
      <c r="C87" t="s">
        <v>77</v>
      </c>
      <c r="D87" s="7">
        <v>44665</v>
      </c>
      <c r="E87" s="7">
        <v>44672</v>
      </c>
      <c r="F87" s="8">
        <v>0</v>
      </c>
      <c r="G87" s="8">
        <v>0</v>
      </c>
      <c r="H87" s="9">
        <v>168</v>
      </c>
      <c r="I87" t="s">
        <v>67</v>
      </c>
    </row>
    <row r="88" spans="1:9" x14ac:dyDescent="0.25">
      <c r="A88" t="s">
        <v>44</v>
      </c>
      <c r="B88" t="s">
        <v>121</v>
      </c>
      <c r="C88" t="s">
        <v>90</v>
      </c>
      <c r="D88" s="7">
        <v>44665</v>
      </c>
      <c r="E88" s="7">
        <v>44665</v>
      </c>
      <c r="F88" s="8">
        <v>0</v>
      </c>
      <c r="G88" s="8">
        <v>0</v>
      </c>
      <c r="H88" s="9">
        <v>0</v>
      </c>
      <c r="I88" t="s">
        <v>67</v>
      </c>
    </row>
    <row r="89" spans="1:9" x14ac:dyDescent="0.25">
      <c r="A89" t="s">
        <v>72</v>
      </c>
      <c r="B89" t="s">
        <v>121</v>
      </c>
      <c r="C89" t="s">
        <v>102</v>
      </c>
      <c r="D89" s="7">
        <v>44665</v>
      </c>
      <c r="E89" s="7">
        <v>44670</v>
      </c>
      <c r="F89" s="8">
        <v>0</v>
      </c>
      <c r="G89" s="8">
        <v>0</v>
      </c>
      <c r="H89" s="9">
        <v>120</v>
      </c>
      <c r="I89" t="s">
        <v>67</v>
      </c>
    </row>
    <row r="90" spans="1:9" x14ac:dyDescent="0.25">
      <c r="A90" t="s">
        <v>72</v>
      </c>
      <c r="B90" t="s">
        <v>121</v>
      </c>
      <c r="C90" t="s">
        <v>103</v>
      </c>
      <c r="D90" s="7">
        <v>44666</v>
      </c>
      <c r="E90" s="7">
        <v>44670</v>
      </c>
      <c r="F90" s="8">
        <v>0</v>
      </c>
      <c r="G90" s="8">
        <v>0</v>
      </c>
      <c r="H90" s="9">
        <v>96</v>
      </c>
      <c r="I90" t="s">
        <v>67</v>
      </c>
    </row>
    <row r="91" spans="1:9" x14ac:dyDescent="0.25">
      <c r="A91" t="s">
        <v>43</v>
      </c>
      <c r="B91" t="s">
        <v>121</v>
      </c>
      <c r="C91" t="s">
        <v>78</v>
      </c>
      <c r="D91" s="7">
        <v>44669</v>
      </c>
      <c r="E91" s="7">
        <v>44676</v>
      </c>
      <c r="F91" s="8">
        <v>0</v>
      </c>
      <c r="G91" s="8">
        <v>0</v>
      </c>
      <c r="H91" s="9">
        <v>168</v>
      </c>
      <c r="I91" t="s">
        <v>67</v>
      </c>
    </row>
    <row r="92" spans="1:9" x14ac:dyDescent="0.25">
      <c r="A92" t="s">
        <v>48</v>
      </c>
      <c r="B92" t="s">
        <v>121</v>
      </c>
      <c r="C92" t="s">
        <v>198</v>
      </c>
      <c r="D92" s="7">
        <v>44669</v>
      </c>
      <c r="E92" s="7">
        <v>44676</v>
      </c>
      <c r="F92" s="8">
        <v>0</v>
      </c>
      <c r="G92" s="8">
        <v>0</v>
      </c>
      <c r="H92" s="9">
        <v>168</v>
      </c>
      <c r="I92" t="s">
        <v>67</v>
      </c>
    </row>
    <row r="93" spans="1:9" x14ac:dyDescent="0.25">
      <c r="A93" t="s">
        <v>48</v>
      </c>
      <c r="B93" t="s">
        <v>121</v>
      </c>
      <c r="C93" t="s">
        <v>198</v>
      </c>
      <c r="D93" s="7">
        <v>44669</v>
      </c>
      <c r="E93" s="7">
        <v>44676</v>
      </c>
      <c r="F93" s="8">
        <v>0</v>
      </c>
      <c r="G93" s="8">
        <v>0</v>
      </c>
      <c r="H93" s="9">
        <v>168</v>
      </c>
      <c r="I93" t="s">
        <v>67</v>
      </c>
    </row>
    <row r="94" spans="1:9" x14ac:dyDescent="0.25">
      <c r="A94" t="s">
        <v>43</v>
      </c>
      <c r="B94" t="s">
        <v>121</v>
      </c>
      <c r="C94" t="s">
        <v>201</v>
      </c>
      <c r="D94" s="7">
        <v>44669</v>
      </c>
      <c r="E94" s="7">
        <v>44676</v>
      </c>
      <c r="F94" s="8">
        <v>0</v>
      </c>
      <c r="G94" s="8">
        <v>0</v>
      </c>
      <c r="H94" s="9">
        <v>168</v>
      </c>
      <c r="I94" t="s">
        <v>67</v>
      </c>
    </row>
    <row r="95" spans="1:9" x14ac:dyDescent="0.25">
      <c r="A95" t="s">
        <v>46</v>
      </c>
      <c r="B95" t="s">
        <v>121</v>
      </c>
      <c r="C95" t="s">
        <v>202</v>
      </c>
      <c r="D95" s="7">
        <v>44669</v>
      </c>
      <c r="E95" s="7">
        <v>949998</v>
      </c>
      <c r="F95" s="8">
        <v>0</v>
      </c>
      <c r="G95" s="8">
        <v>0</v>
      </c>
      <c r="H95" s="9">
        <v>21727896</v>
      </c>
      <c r="I95" t="s">
        <v>67</v>
      </c>
    </row>
    <row r="96" spans="1:9" x14ac:dyDescent="0.25">
      <c r="A96" t="s">
        <v>43</v>
      </c>
      <c r="B96" t="s">
        <v>121</v>
      </c>
      <c r="C96" t="s">
        <v>158</v>
      </c>
      <c r="D96" s="7">
        <v>44637</v>
      </c>
      <c r="E96" s="7">
        <v>44669</v>
      </c>
      <c r="F96" s="8">
        <v>0</v>
      </c>
      <c r="G96" s="8">
        <v>0</v>
      </c>
      <c r="H96" s="9">
        <v>768</v>
      </c>
      <c r="I96" t="s">
        <v>67</v>
      </c>
    </row>
    <row r="97" spans="1:9" x14ac:dyDescent="0.25">
      <c r="A97" t="s">
        <v>44</v>
      </c>
      <c r="B97" t="s">
        <v>121</v>
      </c>
      <c r="C97" t="s">
        <v>203</v>
      </c>
      <c r="D97" s="7">
        <v>44669</v>
      </c>
      <c r="E97" s="7">
        <v>44676</v>
      </c>
      <c r="F97" s="8">
        <v>0</v>
      </c>
      <c r="G97" s="8">
        <v>0</v>
      </c>
      <c r="H97" s="9">
        <v>168</v>
      </c>
      <c r="I97" t="s">
        <v>67</v>
      </c>
    </row>
    <row r="98" spans="1:9" x14ac:dyDescent="0.25">
      <c r="A98" t="s">
        <v>43</v>
      </c>
      <c r="B98" t="s">
        <v>121</v>
      </c>
      <c r="C98" t="s">
        <v>158</v>
      </c>
      <c r="D98" s="7">
        <v>44644</v>
      </c>
      <c r="E98" s="7">
        <v>44670</v>
      </c>
      <c r="F98" s="8">
        <v>0</v>
      </c>
      <c r="G98" s="8">
        <v>0</v>
      </c>
      <c r="H98" s="9">
        <v>624</v>
      </c>
      <c r="I98" t="s">
        <v>67</v>
      </c>
    </row>
    <row r="99" spans="1:9" x14ac:dyDescent="0.25">
      <c r="A99" t="s">
        <v>72</v>
      </c>
      <c r="B99" t="s">
        <v>121</v>
      </c>
      <c r="C99" t="s">
        <v>204</v>
      </c>
      <c r="D99" s="7">
        <v>44670</v>
      </c>
      <c r="E99" s="7">
        <v>44677</v>
      </c>
      <c r="F99" s="8">
        <v>0</v>
      </c>
      <c r="G99" s="8">
        <v>0</v>
      </c>
      <c r="H99" s="9">
        <v>168</v>
      </c>
      <c r="I99" t="s">
        <v>67</v>
      </c>
    </row>
    <row r="100" spans="1:9" x14ac:dyDescent="0.25">
      <c r="A100" t="s">
        <v>43</v>
      </c>
      <c r="B100" t="s">
        <v>121</v>
      </c>
      <c r="C100" t="s">
        <v>158</v>
      </c>
      <c r="D100" s="7">
        <v>44651</v>
      </c>
      <c r="E100" s="7">
        <v>44670</v>
      </c>
      <c r="F100" s="8">
        <v>0</v>
      </c>
      <c r="G100" s="8">
        <v>0</v>
      </c>
      <c r="H100" s="9">
        <v>456</v>
      </c>
      <c r="I100" t="s">
        <v>67</v>
      </c>
    </row>
    <row r="101" spans="1:9" x14ac:dyDescent="0.25">
      <c r="A101" t="s">
        <v>44</v>
      </c>
      <c r="B101" t="s">
        <v>121</v>
      </c>
      <c r="C101" t="s">
        <v>93</v>
      </c>
      <c r="D101" s="7">
        <v>44671</v>
      </c>
      <c r="E101" s="7">
        <v>44673</v>
      </c>
      <c r="F101" s="8">
        <v>0</v>
      </c>
      <c r="G101" s="8">
        <v>0</v>
      </c>
      <c r="H101" s="9">
        <v>48</v>
      </c>
      <c r="I101" t="s">
        <v>67</v>
      </c>
    </row>
    <row r="102" spans="1:9" x14ac:dyDescent="0.25">
      <c r="A102" t="s">
        <v>43</v>
      </c>
      <c r="B102" t="s">
        <v>121</v>
      </c>
      <c r="C102" t="s">
        <v>205</v>
      </c>
      <c r="D102" s="7">
        <v>44671</v>
      </c>
      <c r="E102" s="7">
        <v>44673</v>
      </c>
      <c r="F102" s="8">
        <v>0</v>
      </c>
      <c r="G102" s="8">
        <v>0</v>
      </c>
      <c r="H102" s="9">
        <v>48</v>
      </c>
      <c r="I102" t="s">
        <v>67</v>
      </c>
    </row>
    <row r="103" spans="1:9" x14ac:dyDescent="0.25">
      <c r="A103" t="s">
        <v>45</v>
      </c>
      <c r="B103" t="s">
        <v>121</v>
      </c>
      <c r="C103" t="s">
        <v>258</v>
      </c>
      <c r="D103" s="7">
        <v>44671</v>
      </c>
      <c r="E103" s="7">
        <v>949998</v>
      </c>
      <c r="F103" s="8">
        <v>0</v>
      </c>
      <c r="G103" s="8">
        <v>0</v>
      </c>
      <c r="H103" s="9">
        <v>21727848</v>
      </c>
      <c r="I103" t="s">
        <v>67</v>
      </c>
    </row>
    <row r="104" spans="1:9" x14ac:dyDescent="0.25">
      <c r="A104" t="s">
        <v>44</v>
      </c>
      <c r="B104" t="s">
        <v>121</v>
      </c>
      <c r="C104" t="s">
        <v>206</v>
      </c>
      <c r="D104" s="7">
        <v>44671</v>
      </c>
      <c r="E104" s="7">
        <v>44673</v>
      </c>
      <c r="F104" s="8">
        <v>0</v>
      </c>
      <c r="G104" s="8">
        <v>0</v>
      </c>
      <c r="H104" s="9">
        <v>48</v>
      </c>
      <c r="I104" t="s">
        <v>67</v>
      </c>
    </row>
    <row r="105" spans="1:9" x14ac:dyDescent="0.25">
      <c r="A105" t="s">
        <v>44</v>
      </c>
      <c r="B105" t="s">
        <v>121</v>
      </c>
      <c r="C105" t="s">
        <v>93</v>
      </c>
      <c r="D105" s="7">
        <v>44671</v>
      </c>
      <c r="E105" s="7">
        <v>44672</v>
      </c>
      <c r="F105" s="8">
        <v>0</v>
      </c>
      <c r="G105" s="8">
        <v>0</v>
      </c>
      <c r="H105" s="9">
        <v>24</v>
      </c>
      <c r="I105" t="s">
        <v>67</v>
      </c>
    </row>
    <row r="106" spans="1:9" x14ac:dyDescent="0.25">
      <c r="A106" t="s">
        <v>45</v>
      </c>
      <c r="B106" t="s">
        <v>121</v>
      </c>
      <c r="C106" t="s">
        <v>207</v>
      </c>
      <c r="D106" s="7">
        <v>44672</v>
      </c>
      <c r="E106" s="7">
        <v>44673</v>
      </c>
      <c r="F106" s="8">
        <v>0</v>
      </c>
      <c r="G106" s="8">
        <v>0</v>
      </c>
      <c r="H106" s="9">
        <v>24</v>
      </c>
      <c r="I106" t="s">
        <v>67</v>
      </c>
    </row>
    <row r="107" spans="1:9" x14ac:dyDescent="0.25">
      <c r="A107" t="s">
        <v>45</v>
      </c>
      <c r="B107" t="s">
        <v>121</v>
      </c>
      <c r="C107" t="s">
        <v>209</v>
      </c>
      <c r="D107" s="7">
        <v>44672</v>
      </c>
      <c r="E107" s="7">
        <v>44678</v>
      </c>
      <c r="F107" s="8">
        <v>0</v>
      </c>
      <c r="G107" s="8">
        <v>0</v>
      </c>
      <c r="H107" s="9">
        <v>144</v>
      </c>
      <c r="I107" t="s">
        <v>67</v>
      </c>
    </row>
    <row r="108" spans="1:9" x14ac:dyDescent="0.25">
      <c r="A108" t="s">
        <v>44</v>
      </c>
      <c r="B108" t="s">
        <v>121</v>
      </c>
      <c r="C108" t="s">
        <v>117</v>
      </c>
      <c r="D108" s="7">
        <v>44672</v>
      </c>
      <c r="E108" s="7">
        <v>44673</v>
      </c>
      <c r="F108" s="8">
        <v>0</v>
      </c>
      <c r="G108" s="8">
        <v>0</v>
      </c>
      <c r="H108" s="9">
        <v>24</v>
      </c>
      <c r="I108" t="s">
        <v>67</v>
      </c>
    </row>
    <row r="109" spans="1:9" x14ac:dyDescent="0.25">
      <c r="A109" t="s">
        <v>45</v>
      </c>
      <c r="B109" t="s">
        <v>121</v>
      </c>
      <c r="C109" t="s">
        <v>210</v>
      </c>
      <c r="D109" s="7">
        <v>44672</v>
      </c>
      <c r="E109" s="7">
        <v>949998</v>
      </c>
      <c r="F109" s="8">
        <v>0</v>
      </c>
      <c r="G109" s="8">
        <v>0</v>
      </c>
      <c r="H109" s="9">
        <v>21727824</v>
      </c>
      <c r="I109" t="s">
        <v>67</v>
      </c>
    </row>
    <row r="110" spans="1:9" x14ac:dyDescent="0.25">
      <c r="A110" t="s">
        <v>43</v>
      </c>
      <c r="B110" t="s">
        <v>121</v>
      </c>
      <c r="C110" t="s">
        <v>158</v>
      </c>
      <c r="D110" s="7">
        <v>44672</v>
      </c>
      <c r="E110" s="7">
        <v>44672</v>
      </c>
      <c r="F110" s="8">
        <v>0</v>
      </c>
      <c r="G110" s="8">
        <v>0</v>
      </c>
      <c r="H110" s="9">
        <v>0</v>
      </c>
      <c r="I110" t="s">
        <v>67</v>
      </c>
    </row>
    <row r="111" spans="1:9" x14ac:dyDescent="0.25">
      <c r="A111" t="s">
        <v>44</v>
      </c>
      <c r="B111" t="s">
        <v>121</v>
      </c>
      <c r="C111" t="s">
        <v>235</v>
      </c>
      <c r="D111" s="7">
        <v>44672</v>
      </c>
      <c r="E111" s="7">
        <v>44673</v>
      </c>
      <c r="F111" s="8">
        <v>0</v>
      </c>
      <c r="G111" s="8">
        <v>0</v>
      </c>
      <c r="H111" s="9">
        <v>24</v>
      </c>
      <c r="I111" t="s">
        <v>67</v>
      </c>
    </row>
    <row r="112" spans="1:9" x14ac:dyDescent="0.25">
      <c r="A112" t="s">
        <v>72</v>
      </c>
      <c r="B112" t="s">
        <v>121</v>
      </c>
      <c r="C112" t="s">
        <v>236</v>
      </c>
      <c r="D112" s="7">
        <v>44672</v>
      </c>
      <c r="E112" s="7">
        <v>44673</v>
      </c>
      <c r="F112" s="8">
        <v>0</v>
      </c>
      <c r="G112" s="8">
        <v>0</v>
      </c>
      <c r="H112" s="9">
        <v>24</v>
      </c>
      <c r="I112" t="s">
        <v>67</v>
      </c>
    </row>
    <row r="113" spans="1:9" x14ac:dyDescent="0.25">
      <c r="A113" t="s">
        <v>43</v>
      </c>
      <c r="B113" t="s">
        <v>121</v>
      </c>
      <c r="C113" t="s">
        <v>212</v>
      </c>
      <c r="D113" s="7">
        <v>44673</v>
      </c>
      <c r="E113" s="7">
        <v>44673</v>
      </c>
      <c r="F113" s="8">
        <v>0</v>
      </c>
      <c r="G113" s="8">
        <v>0</v>
      </c>
      <c r="H113" s="9">
        <v>0</v>
      </c>
      <c r="I113" t="s">
        <v>67</v>
      </c>
    </row>
    <row r="114" spans="1:9" x14ac:dyDescent="0.25">
      <c r="A114" t="s">
        <v>43</v>
      </c>
      <c r="B114" t="s">
        <v>121</v>
      </c>
      <c r="C114" t="s">
        <v>116</v>
      </c>
      <c r="D114" s="7">
        <v>44673</v>
      </c>
      <c r="E114" s="7">
        <v>44680</v>
      </c>
      <c r="F114" s="8">
        <v>0</v>
      </c>
      <c r="G114" s="8">
        <v>0</v>
      </c>
      <c r="H114" s="9">
        <v>168</v>
      </c>
      <c r="I114" t="s">
        <v>67</v>
      </c>
    </row>
    <row r="115" spans="1:9" x14ac:dyDescent="0.25">
      <c r="A115" t="s">
        <v>72</v>
      </c>
      <c r="B115" t="s">
        <v>121</v>
      </c>
      <c r="C115" t="s">
        <v>213</v>
      </c>
      <c r="D115" s="7">
        <v>44673</v>
      </c>
      <c r="E115" s="7">
        <v>44680</v>
      </c>
      <c r="F115" s="8">
        <v>0</v>
      </c>
      <c r="G115" s="8">
        <v>0</v>
      </c>
      <c r="H115" s="9">
        <v>168</v>
      </c>
      <c r="I115" t="s">
        <v>67</v>
      </c>
    </row>
    <row r="116" spans="1:9" x14ac:dyDescent="0.25">
      <c r="A116" t="s">
        <v>44</v>
      </c>
      <c r="B116" t="s">
        <v>121</v>
      </c>
      <c r="C116" t="s">
        <v>214</v>
      </c>
      <c r="D116" s="7">
        <v>44673</v>
      </c>
      <c r="E116" s="7">
        <v>44680</v>
      </c>
      <c r="F116" s="8">
        <v>0</v>
      </c>
      <c r="G116" s="8">
        <v>0</v>
      </c>
      <c r="H116" s="9">
        <v>168</v>
      </c>
      <c r="I116" t="s">
        <v>67</v>
      </c>
    </row>
    <row r="117" spans="1:9" x14ac:dyDescent="0.25">
      <c r="A117" t="s">
        <v>44</v>
      </c>
      <c r="B117" t="s">
        <v>121</v>
      </c>
      <c r="C117" t="s">
        <v>259</v>
      </c>
      <c r="D117" s="7">
        <v>44673</v>
      </c>
      <c r="E117" s="7">
        <v>44680</v>
      </c>
      <c r="F117" s="8">
        <v>0</v>
      </c>
      <c r="G117" s="8">
        <v>0</v>
      </c>
      <c r="H117" s="9">
        <v>168</v>
      </c>
      <c r="I117" t="s">
        <v>67</v>
      </c>
    </row>
    <row r="118" spans="1:9" x14ac:dyDescent="0.25">
      <c r="A118" t="s">
        <v>128</v>
      </c>
      <c r="B118" t="s">
        <v>121</v>
      </c>
      <c r="C118" t="s">
        <v>260</v>
      </c>
      <c r="D118" s="7">
        <v>44673</v>
      </c>
      <c r="E118" s="7">
        <v>44676</v>
      </c>
      <c r="F118" s="8">
        <v>0</v>
      </c>
      <c r="G118" s="8">
        <v>0</v>
      </c>
      <c r="H118" s="9">
        <v>72</v>
      </c>
      <c r="I118" t="s">
        <v>67</v>
      </c>
    </row>
    <row r="119" spans="1:9" x14ac:dyDescent="0.25">
      <c r="A119" t="s">
        <v>48</v>
      </c>
      <c r="B119" t="s">
        <v>121</v>
      </c>
      <c r="C119" t="s">
        <v>261</v>
      </c>
      <c r="D119" s="7">
        <v>44673</v>
      </c>
      <c r="E119" s="7">
        <v>949998</v>
      </c>
      <c r="F119" s="8">
        <v>0</v>
      </c>
      <c r="G119" s="8">
        <v>0</v>
      </c>
      <c r="H119" s="9">
        <v>21727800</v>
      </c>
      <c r="I119" t="s">
        <v>67</v>
      </c>
    </row>
    <row r="120" spans="1:9" x14ac:dyDescent="0.25">
      <c r="A120" t="s">
        <v>53</v>
      </c>
      <c r="B120" t="s">
        <v>121</v>
      </c>
      <c r="C120" t="s">
        <v>262</v>
      </c>
      <c r="D120" s="7">
        <v>44673</v>
      </c>
      <c r="E120" s="7">
        <v>44680</v>
      </c>
      <c r="F120" s="8">
        <v>0</v>
      </c>
      <c r="G120" s="8">
        <v>0</v>
      </c>
      <c r="H120" s="9">
        <v>168</v>
      </c>
      <c r="I120" t="s">
        <v>67</v>
      </c>
    </row>
    <row r="121" spans="1:9" x14ac:dyDescent="0.25">
      <c r="A121" t="s">
        <v>128</v>
      </c>
      <c r="B121" t="s">
        <v>121</v>
      </c>
      <c r="C121" t="s">
        <v>264</v>
      </c>
      <c r="D121" s="7">
        <v>44676</v>
      </c>
      <c r="E121" s="7">
        <v>44678</v>
      </c>
      <c r="F121" s="8">
        <v>0</v>
      </c>
      <c r="G121" s="8">
        <v>0</v>
      </c>
      <c r="H121" s="9">
        <v>48</v>
      </c>
      <c r="I121" t="s">
        <v>67</v>
      </c>
    </row>
    <row r="122" spans="1:9" x14ac:dyDescent="0.25">
      <c r="A122" t="s">
        <v>46</v>
      </c>
      <c r="B122" t="s">
        <v>121</v>
      </c>
      <c r="C122" t="s">
        <v>265</v>
      </c>
      <c r="D122" s="7">
        <v>44676</v>
      </c>
      <c r="E122" s="7">
        <v>949998</v>
      </c>
      <c r="F122" s="8">
        <v>0</v>
      </c>
      <c r="G122" s="8">
        <v>0</v>
      </c>
      <c r="H122" s="9">
        <v>21727728</v>
      </c>
      <c r="I122" t="s">
        <v>67</v>
      </c>
    </row>
    <row r="123" spans="1:9" x14ac:dyDescent="0.25">
      <c r="A123" t="s">
        <v>46</v>
      </c>
      <c r="B123" t="s">
        <v>121</v>
      </c>
      <c r="C123" t="s">
        <v>266</v>
      </c>
      <c r="D123" s="7">
        <v>44676</v>
      </c>
      <c r="E123" s="7">
        <v>949998</v>
      </c>
      <c r="F123" s="8">
        <v>0</v>
      </c>
      <c r="G123" s="8">
        <v>0</v>
      </c>
      <c r="H123" s="9">
        <v>21727728</v>
      </c>
      <c r="I123" t="s">
        <v>67</v>
      </c>
    </row>
    <row r="124" spans="1:9" x14ac:dyDescent="0.25">
      <c r="A124" t="s">
        <v>46</v>
      </c>
      <c r="B124" t="s">
        <v>121</v>
      </c>
      <c r="C124" t="s">
        <v>267</v>
      </c>
      <c r="D124" s="7">
        <v>44676</v>
      </c>
      <c r="E124" s="7">
        <v>949998</v>
      </c>
      <c r="F124" s="8">
        <v>0</v>
      </c>
      <c r="G124" s="8">
        <v>0</v>
      </c>
      <c r="H124" s="9">
        <v>21727728</v>
      </c>
      <c r="I124" t="s">
        <v>67</v>
      </c>
    </row>
    <row r="125" spans="1:9" x14ac:dyDescent="0.25">
      <c r="A125" t="s">
        <v>72</v>
      </c>
      <c r="B125" t="s">
        <v>121</v>
      </c>
      <c r="C125" t="s">
        <v>268</v>
      </c>
      <c r="D125" s="7">
        <v>44676</v>
      </c>
      <c r="E125" s="7">
        <v>949998</v>
      </c>
      <c r="F125" s="8">
        <v>0</v>
      </c>
      <c r="G125" s="8">
        <v>0</v>
      </c>
      <c r="H125" s="9">
        <v>21727728</v>
      </c>
      <c r="I125" t="s">
        <v>67</v>
      </c>
    </row>
    <row r="126" spans="1:9" x14ac:dyDescent="0.25">
      <c r="A126" t="s">
        <v>72</v>
      </c>
      <c r="B126" t="s">
        <v>121</v>
      </c>
      <c r="C126" t="s">
        <v>268</v>
      </c>
      <c r="D126" s="7">
        <v>44676</v>
      </c>
      <c r="E126" s="7">
        <v>949998</v>
      </c>
      <c r="F126" s="8">
        <v>0</v>
      </c>
      <c r="G126" s="8">
        <v>0</v>
      </c>
      <c r="H126" s="9">
        <v>21727728</v>
      </c>
      <c r="I126" t="s">
        <v>67</v>
      </c>
    </row>
    <row r="127" spans="1:9" x14ac:dyDescent="0.25">
      <c r="A127" t="s">
        <v>43</v>
      </c>
      <c r="B127" t="s">
        <v>121</v>
      </c>
      <c r="C127" t="s">
        <v>269</v>
      </c>
      <c r="D127" s="7">
        <v>44676</v>
      </c>
      <c r="E127" s="7">
        <v>949998</v>
      </c>
      <c r="F127" s="8">
        <v>0</v>
      </c>
      <c r="G127" s="8">
        <v>0</v>
      </c>
      <c r="H127" s="9">
        <v>21727728</v>
      </c>
      <c r="I127" t="s">
        <v>67</v>
      </c>
    </row>
    <row r="128" spans="1:9" x14ac:dyDescent="0.25">
      <c r="A128" t="s">
        <v>128</v>
      </c>
      <c r="B128" t="s">
        <v>121</v>
      </c>
      <c r="C128" t="s">
        <v>270</v>
      </c>
      <c r="D128" s="7">
        <v>44676</v>
      </c>
      <c r="E128" s="7">
        <v>44679</v>
      </c>
      <c r="F128" s="8">
        <v>0</v>
      </c>
      <c r="G128" s="8">
        <v>0</v>
      </c>
      <c r="H128" s="9">
        <v>72</v>
      </c>
      <c r="I128" t="s">
        <v>67</v>
      </c>
    </row>
    <row r="129" spans="1:9" x14ac:dyDescent="0.25">
      <c r="A129" t="s">
        <v>52</v>
      </c>
      <c r="B129" t="s">
        <v>121</v>
      </c>
      <c r="C129" t="s">
        <v>271</v>
      </c>
      <c r="D129" s="7">
        <v>44676</v>
      </c>
      <c r="E129" s="7">
        <v>949998</v>
      </c>
      <c r="F129" s="8">
        <v>0</v>
      </c>
      <c r="G129" s="8">
        <v>0</v>
      </c>
      <c r="H129" s="9">
        <v>21727728</v>
      </c>
      <c r="I129" t="s">
        <v>67</v>
      </c>
    </row>
    <row r="130" spans="1:9" x14ac:dyDescent="0.25">
      <c r="A130" t="s">
        <v>128</v>
      </c>
      <c r="B130" t="s">
        <v>121</v>
      </c>
      <c r="C130" t="s">
        <v>270</v>
      </c>
      <c r="D130" s="7">
        <v>44676</v>
      </c>
      <c r="E130" s="7">
        <v>949998</v>
      </c>
      <c r="F130" s="8">
        <v>0</v>
      </c>
      <c r="G130" s="8">
        <v>0</v>
      </c>
      <c r="H130" s="9">
        <v>21727728</v>
      </c>
      <c r="I130" t="s">
        <v>67</v>
      </c>
    </row>
    <row r="131" spans="1:9" x14ac:dyDescent="0.25">
      <c r="A131" t="s">
        <v>53</v>
      </c>
      <c r="B131" t="s">
        <v>121</v>
      </c>
      <c r="C131" t="s">
        <v>272</v>
      </c>
      <c r="D131" s="7">
        <v>44676</v>
      </c>
      <c r="E131" s="7">
        <v>949998</v>
      </c>
      <c r="F131" s="8">
        <v>0</v>
      </c>
      <c r="G131" s="8">
        <v>0</v>
      </c>
      <c r="H131" s="9">
        <v>21727728</v>
      </c>
      <c r="I131" t="s">
        <v>67</v>
      </c>
    </row>
    <row r="132" spans="1:9" x14ac:dyDescent="0.25">
      <c r="A132" t="s">
        <v>53</v>
      </c>
      <c r="B132" t="s">
        <v>121</v>
      </c>
      <c r="C132" t="s">
        <v>272</v>
      </c>
      <c r="D132" s="7">
        <v>44676</v>
      </c>
      <c r="E132" s="7">
        <v>949998</v>
      </c>
      <c r="F132" s="8">
        <v>0</v>
      </c>
      <c r="G132" s="8">
        <v>0</v>
      </c>
      <c r="H132" s="9">
        <v>21727728</v>
      </c>
      <c r="I132" t="s">
        <v>67</v>
      </c>
    </row>
    <row r="133" spans="1:9" x14ac:dyDescent="0.25">
      <c r="A133" t="s">
        <v>72</v>
      </c>
      <c r="B133" t="s">
        <v>121</v>
      </c>
      <c r="C133" t="s">
        <v>273</v>
      </c>
      <c r="D133" s="7">
        <v>44676</v>
      </c>
      <c r="E133" s="7">
        <v>949998</v>
      </c>
      <c r="F133" s="8">
        <v>0</v>
      </c>
      <c r="G133" s="8">
        <v>0</v>
      </c>
      <c r="H133" s="9">
        <v>21727728</v>
      </c>
      <c r="I133" t="s">
        <v>67</v>
      </c>
    </row>
    <row r="134" spans="1:9" x14ac:dyDescent="0.25">
      <c r="A134" t="s">
        <v>44</v>
      </c>
      <c r="B134" t="s">
        <v>121</v>
      </c>
      <c r="C134" t="s">
        <v>274</v>
      </c>
      <c r="D134" s="7">
        <v>44676</v>
      </c>
      <c r="E134" s="7">
        <v>949998</v>
      </c>
      <c r="F134" s="8">
        <v>0</v>
      </c>
      <c r="G134" s="8">
        <v>0</v>
      </c>
      <c r="H134" s="9">
        <v>21727728</v>
      </c>
      <c r="I134" t="s">
        <v>67</v>
      </c>
    </row>
    <row r="135" spans="1:9" x14ac:dyDescent="0.25">
      <c r="A135" t="s">
        <v>52</v>
      </c>
      <c r="B135" t="s">
        <v>121</v>
      </c>
      <c r="C135" t="s">
        <v>275</v>
      </c>
      <c r="D135" s="7">
        <v>44677</v>
      </c>
      <c r="E135" s="7">
        <v>949998</v>
      </c>
      <c r="F135" s="8">
        <v>0</v>
      </c>
      <c r="G135" s="8">
        <v>0</v>
      </c>
      <c r="H135" s="9">
        <v>21727704</v>
      </c>
      <c r="I135" t="s">
        <v>67</v>
      </c>
    </row>
    <row r="136" spans="1:9" x14ac:dyDescent="0.25">
      <c r="A136" t="s">
        <v>43</v>
      </c>
      <c r="B136" t="s">
        <v>121</v>
      </c>
      <c r="C136" t="s">
        <v>276</v>
      </c>
      <c r="D136" s="7">
        <v>44677</v>
      </c>
      <c r="E136" s="7">
        <v>949998</v>
      </c>
      <c r="F136" s="8">
        <v>0</v>
      </c>
      <c r="G136" s="8">
        <v>0</v>
      </c>
      <c r="H136" s="9">
        <v>21727704</v>
      </c>
      <c r="I136" t="s">
        <v>67</v>
      </c>
    </row>
    <row r="137" spans="1:9" x14ac:dyDescent="0.25">
      <c r="A137" t="s">
        <v>43</v>
      </c>
      <c r="B137" t="s">
        <v>121</v>
      </c>
      <c r="C137" t="s">
        <v>277</v>
      </c>
      <c r="D137" s="7">
        <v>44677</v>
      </c>
      <c r="E137" s="7">
        <v>949998</v>
      </c>
      <c r="F137" s="8">
        <v>0</v>
      </c>
      <c r="G137" s="8">
        <v>0</v>
      </c>
      <c r="H137" s="9">
        <v>21727704</v>
      </c>
      <c r="I137" t="s">
        <v>67</v>
      </c>
    </row>
    <row r="138" spans="1:9" x14ac:dyDescent="0.25">
      <c r="A138" t="s">
        <v>44</v>
      </c>
      <c r="B138" t="s">
        <v>121</v>
      </c>
      <c r="C138" t="s">
        <v>278</v>
      </c>
      <c r="D138" s="7">
        <v>44677</v>
      </c>
      <c r="E138" s="7">
        <v>44678</v>
      </c>
      <c r="F138" s="8">
        <v>0</v>
      </c>
      <c r="G138" s="8">
        <v>0</v>
      </c>
      <c r="H138" s="9">
        <v>24</v>
      </c>
      <c r="I138" t="s">
        <v>67</v>
      </c>
    </row>
    <row r="139" spans="1:9" x14ac:dyDescent="0.25">
      <c r="A139" t="s">
        <v>44</v>
      </c>
      <c r="B139" t="s">
        <v>121</v>
      </c>
      <c r="C139" t="s">
        <v>279</v>
      </c>
      <c r="D139" s="7">
        <v>44678</v>
      </c>
      <c r="E139" s="7">
        <v>44678</v>
      </c>
      <c r="F139" s="8">
        <v>0</v>
      </c>
      <c r="G139" s="8">
        <v>0</v>
      </c>
      <c r="H139" s="9">
        <v>0</v>
      </c>
      <c r="I139" t="s">
        <v>67</v>
      </c>
    </row>
    <row r="140" spans="1:9" x14ac:dyDescent="0.25">
      <c r="A140" t="s">
        <v>53</v>
      </c>
      <c r="B140" t="s">
        <v>121</v>
      </c>
      <c r="C140" t="s">
        <v>272</v>
      </c>
      <c r="D140" s="7">
        <v>44678</v>
      </c>
      <c r="E140" s="7">
        <v>44678</v>
      </c>
      <c r="F140" s="8">
        <v>0</v>
      </c>
      <c r="G140" s="8">
        <v>0</v>
      </c>
      <c r="H140" s="9">
        <v>0</v>
      </c>
      <c r="I140" t="s">
        <v>67</v>
      </c>
    </row>
    <row r="141" spans="1:9" x14ac:dyDescent="0.25">
      <c r="A141" t="s">
        <v>128</v>
      </c>
      <c r="B141" t="s">
        <v>121</v>
      </c>
      <c r="C141" t="s">
        <v>270</v>
      </c>
      <c r="D141" s="7">
        <v>44678</v>
      </c>
      <c r="E141" s="7">
        <v>44678</v>
      </c>
      <c r="F141" s="8">
        <v>0</v>
      </c>
      <c r="G141" s="8">
        <v>0</v>
      </c>
      <c r="H141" s="9">
        <v>0</v>
      </c>
      <c r="I141" t="s">
        <v>67</v>
      </c>
    </row>
    <row r="142" spans="1:9" x14ac:dyDescent="0.25">
      <c r="A142" t="s">
        <v>53</v>
      </c>
      <c r="B142" t="s">
        <v>121</v>
      </c>
      <c r="C142" t="s">
        <v>272</v>
      </c>
      <c r="D142" s="7">
        <v>44678</v>
      </c>
      <c r="E142" s="7">
        <v>949998</v>
      </c>
      <c r="F142" s="8">
        <v>0</v>
      </c>
      <c r="G142" s="8">
        <v>0</v>
      </c>
      <c r="H142" s="9">
        <v>21727680</v>
      </c>
      <c r="I142" t="s">
        <v>67</v>
      </c>
    </row>
    <row r="143" spans="1:9" x14ac:dyDescent="0.25">
      <c r="A143" t="s">
        <v>285</v>
      </c>
      <c r="B143" t="s">
        <v>121</v>
      </c>
      <c r="C143" t="s">
        <v>287</v>
      </c>
      <c r="D143" s="7">
        <v>44678</v>
      </c>
      <c r="E143" s="7">
        <v>44680</v>
      </c>
      <c r="F143" s="8">
        <v>0</v>
      </c>
      <c r="G143" s="8">
        <v>0</v>
      </c>
      <c r="H143" s="9">
        <v>48</v>
      </c>
      <c r="I143" t="s">
        <v>67</v>
      </c>
    </row>
    <row r="144" spans="1:9" x14ac:dyDescent="0.25">
      <c r="A144" t="s">
        <v>128</v>
      </c>
      <c r="B144" t="s">
        <v>121</v>
      </c>
      <c r="C144" t="s">
        <v>288</v>
      </c>
      <c r="D144" s="7">
        <v>44679</v>
      </c>
      <c r="E144" s="7">
        <v>949998</v>
      </c>
      <c r="F144" s="8">
        <v>0</v>
      </c>
      <c r="G144" s="8">
        <v>0</v>
      </c>
      <c r="H144" s="9">
        <v>21727656</v>
      </c>
      <c r="I144" t="s">
        <v>67</v>
      </c>
    </row>
    <row r="145" spans="1:9" x14ac:dyDescent="0.25">
      <c r="A145" t="s">
        <v>46</v>
      </c>
      <c r="B145" t="s">
        <v>121</v>
      </c>
      <c r="C145" t="s">
        <v>265</v>
      </c>
      <c r="D145" s="7">
        <v>44679</v>
      </c>
      <c r="E145" s="7">
        <v>949998</v>
      </c>
      <c r="F145" s="8">
        <v>0</v>
      </c>
      <c r="G145" s="8">
        <v>0</v>
      </c>
      <c r="H145" s="9">
        <v>21727656</v>
      </c>
      <c r="I145" t="s">
        <v>67</v>
      </c>
    </row>
    <row r="146" spans="1:9" x14ac:dyDescent="0.25">
      <c r="A146" t="s">
        <v>44</v>
      </c>
      <c r="B146" t="s">
        <v>121</v>
      </c>
      <c r="C146" t="s">
        <v>289</v>
      </c>
      <c r="D146" s="7">
        <v>44679</v>
      </c>
      <c r="E146" s="7">
        <v>949998</v>
      </c>
      <c r="F146" s="8">
        <v>0</v>
      </c>
      <c r="G146" s="8">
        <v>0</v>
      </c>
      <c r="H146" s="9">
        <v>21727656</v>
      </c>
      <c r="I146" t="s">
        <v>67</v>
      </c>
    </row>
    <row r="147" spans="1:9" x14ac:dyDescent="0.25">
      <c r="A147" t="s">
        <v>53</v>
      </c>
      <c r="B147" t="s">
        <v>121</v>
      </c>
      <c r="C147" t="s">
        <v>290</v>
      </c>
      <c r="D147" s="7">
        <v>44679</v>
      </c>
      <c r="E147" s="7">
        <v>949998</v>
      </c>
      <c r="F147" s="8">
        <v>0</v>
      </c>
      <c r="G147" s="8">
        <v>0</v>
      </c>
      <c r="H147" s="9">
        <v>21727656</v>
      </c>
      <c r="I147" t="s">
        <v>67</v>
      </c>
    </row>
    <row r="148" spans="1:9" x14ac:dyDescent="0.25">
      <c r="A148" t="s">
        <v>43</v>
      </c>
      <c r="B148" t="s">
        <v>121</v>
      </c>
      <c r="C148" t="s">
        <v>291</v>
      </c>
      <c r="D148" s="7">
        <v>44680</v>
      </c>
      <c r="E148" s="7">
        <v>949998</v>
      </c>
      <c r="F148" s="8">
        <v>0</v>
      </c>
      <c r="G148" s="8">
        <v>0</v>
      </c>
      <c r="H148" s="9">
        <v>21727632</v>
      </c>
      <c r="I148" t="s">
        <v>67</v>
      </c>
    </row>
    <row r="149" spans="1:9" x14ac:dyDescent="0.25">
      <c r="A149" t="s">
        <v>55</v>
      </c>
      <c r="B149" t="s">
        <v>121</v>
      </c>
      <c r="C149" t="s">
        <v>292</v>
      </c>
      <c r="D149" s="7">
        <v>44680</v>
      </c>
      <c r="E149" s="7">
        <v>949998</v>
      </c>
      <c r="F149" s="8">
        <v>0</v>
      </c>
      <c r="G149" s="8">
        <v>0</v>
      </c>
      <c r="H149" s="9">
        <v>21727632</v>
      </c>
      <c r="I149" t="s">
        <v>67</v>
      </c>
    </row>
    <row r="150" spans="1:9" x14ac:dyDescent="0.25">
      <c r="A150" t="s">
        <v>128</v>
      </c>
      <c r="B150" t="s">
        <v>121</v>
      </c>
      <c r="C150" t="s">
        <v>293</v>
      </c>
      <c r="D150" s="7">
        <v>44680</v>
      </c>
      <c r="E150" s="7">
        <v>949998</v>
      </c>
      <c r="F150" s="8">
        <v>0</v>
      </c>
      <c r="G150" s="8">
        <v>0</v>
      </c>
      <c r="H150" s="9">
        <v>21727632</v>
      </c>
      <c r="I150" t="s">
        <v>67</v>
      </c>
    </row>
    <row r="151" spans="1:9" x14ac:dyDescent="0.25">
      <c r="A151" t="s">
        <v>43</v>
      </c>
      <c r="B151" t="s">
        <v>121</v>
      </c>
      <c r="C151" t="s">
        <v>158</v>
      </c>
      <c r="D151" s="7">
        <v>44679</v>
      </c>
      <c r="E151" s="7">
        <v>44680</v>
      </c>
      <c r="F151" s="8">
        <v>0</v>
      </c>
      <c r="G151" s="8">
        <v>0</v>
      </c>
      <c r="H151" s="9">
        <v>24</v>
      </c>
      <c r="I151" t="s">
        <v>67</v>
      </c>
    </row>
    <row r="152" spans="1:9" x14ac:dyDescent="0.25">
      <c r="A152" t="s">
        <v>128</v>
      </c>
      <c r="B152" t="s">
        <v>121</v>
      </c>
      <c r="C152" t="s">
        <v>294</v>
      </c>
      <c r="D152" s="7">
        <v>44680</v>
      </c>
      <c r="E152" s="7">
        <v>949998</v>
      </c>
      <c r="F152" s="8">
        <v>0</v>
      </c>
      <c r="G152" s="8">
        <v>0</v>
      </c>
      <c r="H152" s="9">
        <v>21727632</v>
      </c>
      <c r="I152" t="s">
        <v>67</v>
      </c>
    </row>
    <row r="153" spans="1:9" x14ac:dyDescent="0.25">
      <c r="A153" t="s">
        <v>43</v>
      </c>
      <c r="C153" t="s">
        <v>135</v>
      </c>
      <c r="D153" s="7">
        <v>44603</v>
      </c>
      <c r="E153" s="7">
        <v>44606</v>
      </c>
      <c r="F153" s="8">
        <v>0</v>
      </c>
      <c r="G153" s="8">
        <v>0</v>
      </c>
      <c r="H153" s="9">
        <v>72</v>
      </c>
      <c r="I153" t="s">
        <v>67</v>
      </c>
    </row>
    <row r="154" spans="1:9" x14ac:dyDescent="0.25">
      <c r="A154" t="s">
        <v>43</v>
      </c>
      <c r="C154" t="s">
        <v>135</v>
      </c>
      <c r="D154" s="7">
        <v>44610</v>
      </c>
      <c r="E154" s="7">
        <v>44610</v>
      </c>
      <c r="F154" s="8">
        <v>0</v>
      </c>
      <c r="G154" s="8">
        <v>0</v>
      </c>
      <c r="H154" s="9">
        <v>0</v>
      </c>
      <c r="I154" t="s">
        <v>67</v>
      </c>
    </row>
    <row r="155" spans="1:9" x14ac:dyDescent="0.25">
      <c r="A155" t="s">
        <v>43</v>
      </c>
      <c r="C155" t="s">
        <v>135</v>
      </c>
      <c r="D155" s="7">
        <v>44617</v>
      </c>
      <c r="E155" s="7">
        <v>44610</v>
      </c>
      <c r="F155" s="8">
        <v>0</v>
      </c>
      <c r="G155" s="8">
        <v>0</v>
      </c>
      <c r="H155" s="9">
        <v>-168</v>
      </c>
      <c r="I155" t="s">
        <v>67</v>
      </c>
    </row>
    <row r="156" spans="1:9" x14ac:dyDescent="0.25">
      <c r="A156" t="s">
        <v>43</v>
      </c>
      <c r="C156" t="s">
        <v>135</v>
      </c>
      <c r="D156" s="7">
        <v>44624</v>
      </c>
      <c r="E156" s="7">
        <v>44618</v>
      </c>
      <c r="F156" s="8">
        <v>0</v>
      </c>
      <c r="G156" s="8">
        <v>0</v>
      </c>
      <c r="H156" s="9">
        <v>-144</v>
      </c>
      <c r="I156" t="s">
        <v>67</v>
      </c>
    </row>
    <row r="157" spans="1:9" x14ac:dyDescent="0.25">
      <c r="A157" t="s">
        <v>43</v>
      </c>
      <c r="C157" t="s">
        <v>135</v>
      </c>
      <c r="D157" s="7">
        <v>44631</v>
      </c>
      <c r="E157" s="7">
        <v>44618</v>
      </c>
      <c r="F157" s="8">
        <v>0</v>
      </c>
      <c r="G157" s="8">
        <v>0</v>
      </c>
      <c r="H157" s="9">
        <v>-312</v>
      </c>
      <c r="I157" t="s">
        <v>67</v>
      </c>
    </row>
    <row r="158" spans="1:9" x14ac:dyDescent="0.25">
      <c r="A158" t="s">
        <v>43</v>
      </c>
      <c r="C158" t="s">
        <v>135</v>
      </c>
      <c r="D158" s="7">
        <v>44624</v>
      </c>
      <c r="E158" s="7">
        <v>44627</v>
      </c>
      <c r="F158" s="8">
        <v>0</v>
      </c>
      <c r="G158" s="8">
        <v>0</v>
      </c>
      <c r="H158" s="9">
        <v>72</v>
      </c>
      <c r="I158" t="s">
        <v>67</v>
      </c>
    </row>
    <row r="159" spans="1:9" x14ac:dyDescent="0.25">
      <c r="A159" t="s">
        <v>43</v>
      </c>
      <c r="C159" t="s">
        <v>146</v>
      </c>
      <c r="D159" s="7">
        <v>44629</v>
      </c>
      <c r="E159" s="7">
        <v>44629</v>
      </c>
      <c r="F159" s="8">
        <v>0</v>
      </c>
      <c r="G159" s="8">
        <v>0</v>
      </c>
      <c r="H159" s="9">
        <v>0</v>
      </c>
      <c r="I159" t="s">
        <v>67</v>
      </c>
    </row>
    <row r="160" spans="1:9" x14ac:dyDescent="0.25">
      <c r="A160" t="s">
        <v>43</v>
      </c>
      <c r="C160" t="s">
        <v>162</v>
      </c>
      <c r="D160" s="7">
        <v>44641</v>
      </c>
      <c r="E160" s="7">
        <v>44644</v>
      </c>
      <c r="F160" s="8">
        <v>0</v>
      </c>
      <c r="G160" s="8">
        <v>0</v>
      </c>
      <c r="H160" s="9">
        <v>72</v>
      </c>
      <c r="I160" t="s">
        <v>67</v>
      </c>
    </row>
    <row r="161" spans="1:9" x14ac:dyDescent="0.25">
      <c r="A161" t="s">
        <v>43</v>
      </c>
      <c r="C161" t="s">
        <v>170</v>
      </c>
      <c r="D161" s="7">
        <v>44644</v>
      </c>
      <c r="E161" s="7">
        <v>44644</v>
      </c>
      <c r="F161" s="8">
        <v>0</v>
      </c>
      <c r="G161" s="8">
        <v>0</v>
      </c>
      <c r="H161" s="9">
        <v>0</v>
      </c>
      <c r="I161" t="s">
        <v>67</v>
      </c>
    </row>
    <row r="162" spans="1:9" x14ac:dyDescent="0.25">
      <c r="A162" t="s">
        <v>43</v>
      </c>
      <c r="C162" t="s">
        <v>171</v>
      </c>
      <c r="D162" s="7">
        <v>44644</v>
      </c>
      <c r="E162" s="7">
        <v>44648</v>
      </c>
      <c r="F162" s="8">
        <v>0</v>
      </c>
      <c r="G162" s="8">
        <v>0</v>
      </c>
      <c r="H162" s="9">
        <v>96</v>
      </c>
      <c r="I162" t="s">
        <v>67</v>
      </c>
    </row>
    <row r="163" spans="1:9" x14ac:dyDescent="0.25">
      <c r="A163" t="s">
        <v>43</v>
      </c>
      <c r="C163" t="s">
        <v>177</v>
      </c>
      <c r="D163" s="7">
        <v>44651</v>
      </c>
      <c r="E163" s="7">
        <v>44649</v>
      </c>
      <c r="F163" s="8">
        <v>0</v>
      </c>
      <c r="G163" s="8">
        <v>0</v>
      </c>
      <c r="H163" s="9">
        <v>-48</v>
      </c>
      <c r="I163" t="s">
        <v>67</v>
      </c>
    </row>
    <row r="164" spans="1:9" x14ac:dyDescent="0.25">
      <c r="A164" t="s">
        <v>43</v>
      </c>
      <c r="C164" t="s">
        <v>179</v>
      </c>
      <c r="D164" s="7">
        <v>44650</v>
      </c>
      <c r="E164" s="7">
        <v>44655</v>
      </c>
      <c r="F164" s="8">
        <v>0</v>
      </c>
      <c r="G164" s="8">
        <v>0</v>
      </c>
      <c r="H164" s="9">
        <v>120</v>
      </c>
      <c r="I164" t="s">
        <v>67</v>
      </c>
    </row>
    <row r="165" spans="1:9" x14ac:dyDescent="0.25">
      <c r="A165" t="s">
        <v>43</v>
      </c>
      <c r="C165" t="s">
        <v>183</v>
      </c>
      <c r="D165" s="7">
        <v>44662</v>
      </c>
      <c r="E165" s="7">
        <v>44658</v>
      </c>
      <c r="F165" s="8">
        <v>0</v>
      </c>
      <c r="G165" s="8">
        <v>0</v>
      </c>
      <c r="H165" s="9">
        <v>-96</v>
      </c>
      <c r="I165" t="s">
        <v>67</v>
      </c>
    </row>
    <row r="166" spans="1:9" x14ac:dyDescent="0.25">
      <c r="A166" t="s">
        <v>43</v>
      </c>
      <c r="C166" t="s">
        <v>184</v>
      </c>
      <c r="D166" s="7">
        <v>44658</v>
      </c>
      <c r="E166" s="7">
        <v>44673</v>
      </c>
      <c r="F166" s="8">
        <v>0</v>
      </c>
      <c r="G166" s="8">
        <v>0</v>
      </c>
      <c r="H166" s="9">
        <v>360</v>
      </c>
      <c r="I166" t="s">
        <v>67</v>
      </c>
    </row>
    <row r="167" spans="1:9" x14ac:dyDescent="0.25">
      <c r="A167" t="s">
        <v>44</v>
      </c>
      <c r="C167" t="s">
        <v>187</v>
      </c>
      <c r="D167" s="7">
        <v>44659</v>
      </c>
      <c r="E167" s="7">
        <v>44669</v>
      </c>
      <c r="F167" s="8">
        <v>0</v>
      </c>
      <c r="G167" s="8">
        <v>0</v>
      </c>
      <c r="H167" s="9">
        <v>240</v>
      </c>
      <c r="I167" t="s">
        <v>67</v>
      </c>
    </row>
    <row r="168" spans="1:9" x14ac:dyDescent="0.25">
      <c r="A168" t="s">
        <v>43</v>
      </c>
      <c r="C168" t="s">
        <v>188</v>
      </c>
      <c r="D168" s="7">
        <v>44662</v>
      </c>
      <c r="E168" s="7">
        <v>44664</v>
      </c>
      <c r="F168" s="8">
        <v>0</v>
      </c>
      <c r="G168" s="8">
        <v>0</v>
      </c>
      <c r="H168" s="9">
        <v>48</v>
      </c>
      <c r="I168" t="s">
        <v>67</v>
      </c>
    </row>
    <row r="169" spans="1:9" x14ac:dyDescent="0.25">
      <c r="A169" t="s">
        <v>43</v>
      </c>
      <c r="C169" t="s">
        <v>192</v>
      </c>
      <c r="D169" s="7">
        <v>44665</v>
      </c>
      <c r="E169" s="7">
        <v>44670</v>
      </c>
      <c r="F169" s="8">
        <v>0</v>
      </c>
      <c r="G169" s="8">
        <v>0</v>
      </c>
      <c r="H169" s="9">
        <v>120</v>
      </c>
      <c r="I169" t="s">
        <v>67</v>
      </c>
    </row>
    <row r="170" spans="1:9" x14ac:dyDescent="0.25">
      <c r="A170" t="s">
        <v>43</v>
      </c>
      <c r="C170" t="s">
        <v>257</v>
      </c>
      <c r="D170" s="7">
        <v>44669</v>
      </c>
      <c r="E170" s="7">
        <v>44678</v>
      </c>
      <c r="F170" s="8">
        <v>0</v>
      </c>
      <c r="G170" s="8">
        <v>0</v>
      </c>
      <c r="H170" s="9">
        <v>216</v>
      </c>
      <c r="I170" t="s">
        <v>67</v>
      </c>
    </row>
    <row r="171" spans="1:9" x14ac:dyDescent="0.25">
      <c r="A171" t="s">
        <v>53</v>
      </c>
      <c r="C171" t="s">
        <v>197</v>
      </c>
      <c r="D171" s="7">
        <v>44666</v>
      </c>
      <c r="E171" s="7">
        <v>44670</v>
      </c>
      <c r="F171" s="8">
        <v>0</v>
      </c>
      <c r="G171" s="8">
        <v>0</v>
      </c>
      <c r="H171" s="9">
        <v>96</v>
      </c>
      <c r="I171" t="s">
        <v>67</v>
      </c>
    </row>
    <row r="172" spans="1:9" x14ac:dyDescent="0.25">
      <c r="A172" t="s">
        <v>44</v>
      </c>
      <c r="C172" t="s">
        <v>199</v>
      </c>
      <c r="D172" s="7">
        <v>44671</v>
      </c>
      <c r="E172" s="7">
        <v>44673</v>
      </c>
      <c r="F172" s="8">
        <v>0</v>
      </c>
      <c r="G172" s="8">
        <v>0</v>
      </c>
      <c r="H172" s="9">
        <v>48</v>
      </c>
      <c r="I172" t="s">
        <v>67</v>
      </c>
    </row>
    <row r="173" spans="1:9" x14ac:dyDescent="0.25">
      <c r="A173" t="s">
        <v>44</v>
      </c>
      <c r="C173" t="s">
        <v>200</v>
      </c>
      <c r="D173" s="7">
        <v>44671</v>
      </c>
      <c r="E173" s="7">
        <v>44673</v>
      </c>
      <c r="F173" s="8">
        <v>0</v>
      </c>
      <c r="G173" s="8">
        <v>0</v>
      </c>
      <c r="H173" s="9">
        <v>48</v>
      </c>
      <c r="I173" t="s">
        <v>67</v>
      </c>
    </row>
    <row r="174" spans="1:9" x14ac:dyDescent="0.25">
      <c r="A174" t="s">
        <v>43</v>
      </c>
      <c r="C174" t="s">
        <v>208</v>
      </c>
      <c r="D174" s="7">
        <v>44673</v>
      </c>
      <c r="E174" s="7">
        <v>44673</v>
      </c>
      <c r="F174" s="8">
        <v>0</v>
      </c>
      <c r="G174" s="8">
        <v>0</v>
      </c>
      <c r="H174" s="9">
        <v>0</v>
      </c>
      <c r="I174" t="s">
        <v>67</v>
      </c>
    </row>
    <row r="175" spans="1:9" x14ac:dyDescent="0.25">
      <c r="A175" t="s">
        <v>72</v>
      </c>
      <c r="C175" t="s">
        <v>282</v>
      </c>
      <c r="D175" s="7">
        <v>44683</v>
      </c>
      <c r="E175" s="7">
        <v>949998</v>
      </c>
      <c r="F175" s="8">
        <v>0</v>
      </c>
      <c r="G175" s="8">
        <v>0</v>
      </c>
      <c r="H175" s="9">
        <v>21727560</v>
      </c>
      <c r="I175" t="s">
        <v>67</v>
      </c>
    </row>
    <row r="176" spans="1:9" x14ac:dyDescent="0.25">
      <c r="A176" t="s">
        <v>44</v>
      </c>
      <c r="C176" t="s">
        <v>283</v>
      </c>
      <c r="D176" s="7">
        <v>44683</v>
      </c>
      <c r="E176" s="7">
        <v>949998</v>
      </c>
      <c r="F176" s="8">
        <v>0</v>
      </c>
      <c r="G176" s="8">
        <v>0</v>
      </c>
      <c r="H176" s="9">
        <v>21727560</v>
      </c>
      <c r="I176" t="s">
        <v>67</v>
      </c>
    </row>
    <row r="177" spans="1:9" x14ac:dyDescent="0.25">
      <c r="A177" t="s">
        <v>285</v>
      </c>
      <c r="C177" t="s">
        <v>284</v>
      </c>
      <c r="D177" s="7">
        <v>44678</v>
      </c>
      <c r="E177" s="7">
        <v>44680</v>
      </c>
      <c r="F177" s="8">
        <v>0</v>
      </c>
      <c r="G177" s="8">
        <v>0</v>
      </c>
      <c r="H177" s="9">
        <v>48</v>
      </c>
      <c r="I177" t="s">
        <v>67</v>
      </c>
    </row>
    <row r="178" spans="1:9" x14ac:dyDescent="0.25">
      <c r="A178" t="s">
        <v>44</v>
      </c>
      <c r="C178" t="s">
        <v>286</v>
      </c>
      <c r="D178" s="7">
        <v>44679</v>
      </c>
      <c r="E178" s="7">
        <v>949998</v>
      </c>
      <c r="F178" s="8">
        <v>0</v>
      </c>
      <c r="G178" s="8">
        <v>0</v>
      </c>
      <c r="H178" s="9">
        <v>21727656</v>
      </c>
      <c r="I178" t="s">
        <v>67</v>
      </c>
    </row>
  </sheetData>
  <sortState xmlns:xlrd2="http://schemas.microsoft.com/office/spreadsheetml/2017/richdata2" ref="A2:J178">
    <sortCondition ref="B2"/>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42C09-F629-4AB4-9B9F-B5B95302A7F1}">
  <sheetPr codeName="Sheet2"/>
  <dimension ref="A1:M16"/>
  <sheetViews>
    <sheetView workbookViewId="0">
      <selection activeCell="G8" sqref="G8"/>
    </sheetView>
  </sheetViews>
  <sheetFormatPr defaultRowHeight="15" x14ac:dyDescent="0.25"/>
  <cols>
    <col min="1" max="1" width="41.5703125" bestFit="1" customWidth="1"/>
  </cols>
  <sheetData>
    <row r="1" spans="1:13" x14ac:dyDescent="0.25">
      <c r="A1" t="s">
        <v>1</v>
      </c>
      <c r="B1">
        <v>26</v>
      </c>
      <c r="H1" t="s">
        <v>240</v>
      </c>
      <c r="M1" t="str">
        <f>LEFT(H1,FIND(":",H1)-1)</f>
        <v>LeftArrow</v>
      </c>
    </row>
    <row r="2" spans="1:13" x14ac:dyDescent="0.25">
      <c r="A2" t="s">
        <v>2</v>
      </c>
      <c r="B2">
        <v>3</v>
      </c>
      <c r="H2" t="s">
        <v>241</v>
      </c>
      <c r="M2" t="str">
        <f t="shared" ref="M2:M16" si="0">LEFT(H2,FIND(":",H2)-1)</f>
        <v>RightArrow</v>
      </c>
    </row>
    <row r="3" spans="1:13" x14ac:dyDescent="0.25">
      <c r="A3" t="s">
        <v>3</v>
      </c>
      <c r="B3">
        <v>5</v>
      </c>
      <c r="H3" t="s">
        <v>242</v>
      </c>
      <c r="M3" t="str">
        <f t="shared" si="0"/>
        <v>Clock2</v>
      </c>
    </row>
    <row r="4" spans="1:13" x14ac:dyDescent="0.25">
      <c r="A4" t="s">
        <v>4</v>
      </c>
      <c r="B4">
        <v>9</v>
      </c>
      <c r="H4" t="s">
        <v>243</v>
      </c>
      <c r="M4" t="str">
        <f t="shared" si="0"/>
        <v>SailBoat</v>
      </c>
    </row>
    <row r="5" spans="1:13" x14ac:dyDescent="0.25">
      <c r="A5" t="s">
        <v>5</v>
      </c>
      <c r="B5">
        <v>22</v>
      </c>
      <c r="H5" t="s">
        <v>244</v>
      </c>
      <c r="M5" t="str">
        <f t="shared" si="0"/>
        <v>PeaceLove</v>
      </c>
    </row>
    <row r="6" spans="1:13" x14ac:dyDescent="0.25">
      <c r="A6" t="s">
        <v>6</v>
      </c>
      <c r="B6">
        <v>15</v>
      </c>
      <c r="H6" t="s">
        <v>245</v>
      </c>
      <c r="M6" t="str">
        <f t="shared" si="0"/>
        <v>CheckOK</v>
      </c>
    </row>
    <row r="7" spans="1:13" x14ac:dyDescent="0.25">
      <c r="A7" t="s">
        <v>7</v>
      </c>
      <c r="B7">
        <v>18</v>
      </c>
      <c r="H7" t="s">
        <v>246</v>
      </c>
      <c r="M7" t="str">
        <f t="shared" si="0"/>
        <v>Ghost</v>
      </c>
    </row>
    <row r="8" spans="1:13" x14ac:dyDescent="0.25">
      <c r="A8" t="s">
        <v>8</v>
      </c>
      <c r="B8">
        <v>6</v>
      </c>
      <c r="H8" t="s">
        <v>247</v>
      </c>
      <c r="M8" t="str">
        <f t="shared" si="0"/>
        <v>MapleLeaf</v>
      </c>
    </row>
    <row r="9" spans="1:13" x14ac:dyDescent="0.25">
      <c r="A9" t="s">
        <v>9</v>
      </c>
      <c r="B9">
        <v>49</v>
      </c>
      <c r="H9" t="s">
        <v>248</v>
      </c>
      <c r="M9" t="str">
        <f t="shared" si="0"/>
        <v>Calaca</v>
      </c>
    </row>
    <row r="10" spans="1:13" x14ac:dyDescent="0.25">
      <c r="A10" t="s">
        <v>10</v>
      </c>
      <c r="B10">
        <v>9</v>
      </c>
      <c r="H10" t="s">
        <v>249</v>
      </c>
      <c r="M10" t="str">
        <f t="shared" si="0"/>
        <v>Corazon</v>
      </c>
    </row>
    <row r="11" spans="1:13" x14ac:dyDescent="0.25">
      <c r="A11" t="s">
        <v>11</v>
      </c>
      <c r="B11">
        <v>6</v>
      </c>
      <c r="H11" t="s">
        <v>250</v>
      </c>
      <c r="M11" t="str">
        <f t="shared" si="0"/>
        <v>Finger1</v>
      </c>
    </row>
    <row r="12" spans="1:13" x14ac:dyDescent="0.25">
      <c r="A12" t="s">
        <v>12</v>
      </c>
      <c r="B12">
        <v>14</v>
      </c>
      <c r="H12" t="s">
        <v>251</v>
      </c>
      <c r="M12" t="str">
        <f t="shared" si="0"/>
        <v>HandBro</v>
      </c>
    </row>
    <row r="13" spans="1:13" x14ac:dyDescent="0.25">
      <c r="A13" t="s">
        <v>13</v>
      </c>
      <c r="B13">
        <v>3</v>
      </c>
      <c r="H13" t="s">
        <v>252</v>
      </c>
      <c r="M13" t="str">
        <f t="shared" si="0"/>
        <v>Airplane</v>
      </c>
    </row>
    <row r="14" spans="1:13" x14ac:dyDescent="0.25">
      <c r="H14" t="s">
        <v>253</v>
      </c>
      <c r="M14" t="str">
        <f t="shared" si="0"/>
        <v>XMark</v>
      </c>
    </row>
    <row r="15" spans="1:13" x14ac:dyDescent="0.25">
      <c r="H15" t="s">
        <v>254</v>
      </c>
      <c r="M15" t="str">
        <f t="shared" si="0"/>
        <v>Umbrella</v>
      </c>
    </row>
    <row r="16" spans="1:13" x14ac:dyDescent="0.25">
      <c r="H16" t="s">
        <v>255</v>
      </c>
      <c r="M16" t="str">
        <f t="shared" si="0"/>
        <v>DogFace</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Sheet3</vt:lpstr>
      <vt:lpstr>eMails</vt:lpstr>
      <vt:lpstr>Sheet5</vt:lpstr>
      <vt:lpstr>Calendar</vt:lpstr>
      <vt:lpstr>Sheet7</vt:lpstr>
      <vt:lpstr>Tasks</vt:lpstr>
      <vt:lpstr>Sheet2</vt:lpstr>
      <vt:lpstr>eMail_date</vt:lpstr>
      <vt:lpstr>email_Folder</vt:lpstr>
      <vt:lpstr>eMail_sender</vt:lpstr>
      <vt:lpstr>eMail_subject</vt:lpstr>
      <vt:lpstr>eMail_text</vt:lpstr>
      <vt:lpstr>From_Date</vt:lpstr>
      <vt:lpstr>Project</vt:lpstr>
      <vt:lpstr>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Reta</dc:creator>
  <cp:lastModifiedBy>Felix Reta</cp:lastModifiedBy>
  <dcterms:created xsi:type="dcterms:W3CDTF">2022-04-08T15:51:02Z</dcterms:created>
  <dcterms:modified xsi:type="dcterms:W3CDTF">2022-04-29T19:16:54Z</dcterms:modified>
</cp:coreProperties>
</file>